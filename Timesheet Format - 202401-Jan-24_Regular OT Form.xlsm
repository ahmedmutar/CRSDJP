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hmadmukhtar/Downloads/"/>
    </mc:Choice>
  </mc:AlternateContent>
  <xr:revisionPtr revIDLastSave="0" documentId="13_ncr:1_{8535FC93-9ED0-DC41-9D39-1982C9498140}" xr6:coauthVersionLast="47" xr6:coauthVersionMax="47" xr10:uidLastSave="{00000000-0000-0000-0000-000000000000}"/>
  <bookViews>
    <workbookView xWindow="0" yWindow="740" windowWidth="30240" windowHeight="1890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2" l="1"/>
  <c r="F65" i="1"/>
  <c r="F63" i="1"/>
  <c r="F51" i="1"/>
  <c r="F49" i="1"/>
  <c r="F43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7" i="1"/>
  <c r="F15" i="1"/>
  <c r="B64" i="13"/>
  <c r="C64" i="13" s="1"/>
  <c r="G64" i="13" s="1"/>
  <c r="B58" i="13"/>
  <c r="C58" i="13" s="1"/>
  <c r="G58" i="13" s="1"/>
  <c r="B56" i="13"/>
  <c r="C56" i="13" s="1"/>
  <c r="G56" i="13" s="1"/>
  <c r="B54" i="13"/>
  <c r="F54" i="13" s="1"/>
  <c r="B52" i="13"/>
  <c r="F52" i="13" s="1"/>
  <c r="B50" i="13"/>
  <c r="F50" i="13" s="1"/>
  <c r="B44" i="13"/>
  <c r="C44" i="13" s="1"/>
  <c r="G44" i="13" s="1"/>
  <c r="B42" i="13"/>
  <c r="C42" i="13" s="1"/>
  <c r="G42" i="13" s="1"/>
  <c r="B40" i="13"/>
  <c r="C40" i="13" s="1"/>
  <c r="G40" i="13" s="1"/>
  <c r="B38" i="13"/>
  <c r="C38" i="13" s="1"/>
  <c r="G38" i="13" s="1"/>
  <c r="B36" i="13"/>
  <c r="C36" i="13" s="1"/>
  <c r="G36" i="13" s="1"/>
  <c r="B30" i="13"/>
  <c r="C30" i="13" s="1"/>
  <c r="G30" i="13" s="1"/>
  <c r="B28" i="13"/>
  <c r="F28" i="13" s="1"/>
  <c r="B26" i="13"/>
  <c r="F26" i="13" s="1"/>
  <c r="B24" i="13"/>
  <c r="C24" i="13" s="1"/>
  <c r="G24" i="13" s="1"/>
  <c r="B22" i="13"/>
  <c r="C22" i="13" s="1"/>
  <c r="G22" i="13" s="1"/>
  <c r="B16" i="13"/>
  <c r="C16" i="13" s="1"/>
  <c r="G16" i="13" s="1"/>
  <c r="B14" i="13"/>
  <c r="F14" i="13" s="1"/>
  <c r="B10" i="13"/>
  <c r="F10" i="13" s="1"/>
  <c r="F6" i="11"/>
  <c r="B65" i="13"/>
  <c r="F65" i="13" s="1"/>
  <c r="B63" i="13"/>
  <c r="C63" i="13" s="1"/>
  <c r="G63" i="13" s="1"/>
  <c r="B61" i="13"/>
  <c r="C61" i="13" s="1"/>
  <c r="G61" i="13" s="1"/>
  <c r="B59" i="13"/>
  <c r="C59" i="13" s="1"/>
  <c r="G59" i="13" s="1"/>
  <c r="B55" i="13"/>
  <c r="C55" i="13" s="1"/>
  <c r="G55" i="13" s="1"/>
  <c r="B53" i="13"/>
  <c r="F53" i="13" s="1"/>
  <c r="B47" i="13"/>
  <c r="F47" i="13" s="1"/>
  <c r="B45" i="13"/>
  <c r="C45" i="13" s="1"/>
  <c r="G45" i="13" s="1"/>
  <c r="B43" i="13"/>
  <c r="F43" i="13" s="1"/>
  <c r="B41" i="13"/>
  <c r="C41" i="13" s="1"/>
  <c r="B39" i="13"/>
  <c r="F39" i="13" s="1"/>
  <c r="B37" i="13"/>
  <c r="C37" i="13" s="1"/>
  <c r="G37" i="13" s="1"/>
  <c r="B31" i="13"/>
  <c r="C31" i="13" s="1"/>
  <c r="G31" i="13" s="1"/>
  <c r="B29" i="13"/>
  <c r="F29" i="13" s="1"/>
  <c r="B27" i="13"/>
  <c r="F27" i="13" s="1"/>
  <c r="B25" i="13"/>
  <c r="F25" i="13" s="1"/>
  <c r="B21" i="13"/>
  <c r="F21" i="13" s="1"/>
  <c r="B19" i="13"/>
  <c r="F19" i="13" s="1"/>
  <c r="B17" i="13"/>
  <c r="C17" i="13" s="1"/>
  <c r="G17" i="13" s="1"/>
  <c r="B13" i="13"/>
  <c r="F13" i="13" s="1"/>
  <c r="B11" i="13"/>
  <c r="C11" i="13" s="1"/>
  <c r="G11" i="13" s="1"/>
  <c r="B7" i="13"/>
  <c r="C7" i="13" s="1"/>
  <c r="G7" i="13" s="1"/>
  <c r="B62" i="13"/>
  <c r="F62" i="13" s="1"/>
  <c r="B60" i="13"/>
  <c r="C60" i="13" s="1"/>
  <c r="G60" i="13" s="1"/>
  <c r="B48" i="13"/>
  <c r="F48" i="13" s="1"/>
  <c r="B46" i="13"/>
  <c r="C46" i="13" s="1"/>
  <c r="G46" i="13" s="1"/>
  <c r="B34" i="13"/>
  <c r="F34" i="13" s="1"/>
  <c r="B32" i="13"/>
  <c r="C32" i="13" s="1"/>
  <c r="G32" i="13" s="1"/>
  <c r="B20" i="13"/>
  <c r="C20" i="13" s="1"/>
  <c r="G20" i="13" s="1"/>
  <c r="B18" i="13"/>
  <c r="F18" i="13" s="1"/>
  <c r="B57" i="13"/>
  <c r="C57" i="13" s="1"/>
  <c r="G57" i="13" s="1"/>
  <c r="B51" i="13"/>
  <c r="C51" i="13" s="1"/>
  <c r="G51" i="13" s="1"/>
  <c r="B49" i="13"/>
  <c r="C49" i="13" s="1"/>
  <c r="G49" i="13" s="1"/>
  <c r="B35" i="13"/>
  <c r="F35" i="13" s="1"/>
  <c r="B33" i="13"/>
  <c r="F33" i="13" s="1"/>
  <c r="B23" i="13"/>
  <c r="C23" i="13" s="1"/>
  <c r="G23" i="13" s="1"/>
  <c r="B15" i="13"/>
  <c r="C15" i="13" s="1"/>
  <c r="K67" i="2"/>
  <c r="K69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K77" i="1" s="1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62" i="2"/>
  <c r="L69" i="2"/>
  <c r="L3" i="2"/>
  <c r="F5" i="11"/>
  <c r="D9" i="11" s="1"/>
  <c r="D11" i="11" s="1"/>
  <c r="C11" i="1"/>
  <c r="B11" i="1" s="1"/>
  <c r="F4" i="11"/>
  <c r="F3" i="11"/>
  <c r="B82" i="11" s="1"/>
  <c r="F2" i="11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B84" i="1"/>
  <c r="J3" i="2"/>
  <c r="J7" i="2" s="1"/>
  <c r="H5" i="3"/>
  <c r="I5" i="3" s="1"/>
  <c r="B9" i="13"/>
  <c r="F9" i="13" s="1"/>
  <c r="B8" i="13"/>
  <c r="C8" i="13" s="1"/>
  <c r="F21" i="1"/>
  <c r="B12" i="13"/>
  <c r="F12" i="13" s="1"/>
  <c r="B5" i="13"/>
  <c r="C5" i="13" s="1"/>
  <c r="G5" i="13" s="1"/>
  <c r="J77" i="1" l="1"/>
  <c r="I77" i="1"/>
  <c r="C50" i="13"/>
  <c r="G50" i="13" s="1"/>
  <c r="C52" i="13"/>
  <c r="G52" i="13" s="1"/>
  <c r="C54" i="13"/>
  <c r="G54" i="13" s="1"/>
  <c r="C43" i="13"/>
  <c r="G43" i="13" s="1"/>
  <c r="F30" i="13"/>
  <c r="C21" i="13"/>
  <c r="G21" i="13" s="1"/>
  <c r="C28" i="13"/>
  <c r="G28" i="13" s="1"/>
  <c r="F49" i="13"/>
  <c r="F42" i="13"/>
  <c r="F20" i="13"/>
  <c r="C35" i="13"/>
  <c r="G35" i="13" s="1"/>
  <c r="F63" i="13"/>
  <c r="F51" i="13"/>
  <c r="C13" i="13"/>
  <c r="G13" i="13" s="1"/>
  <c r="C25" i="13"/>
  <c r="G25" i="13" s="1"/>
  <c r="F59" i="13"/>
  <c r="C29" i="13"/>
  <c r="G29" i="13" s="1"/>
  <c r="F60" i="13"/>
  <c r="F45" i="13"/>
  <c r="C48" i="13"/>
  <c r="G48" i="13" s="1"/>
  <c r="C14" i="13"/>
  <c r="G14" i="13" s="1"/>
  <c r="C62" i="13"/>
  <c r="G62" i="13" s="1"/>
  <c r="F38" i="13"/>
  <c r="J5" i="2"/>
  <c r="C53" i="13"/>
  <c r="G53" i="13" s="1"/>
  <c r="F22" i="13"/>
  <c r="F7" i="13"/>
  <c r="C18" i="13"/>
  <c r="G18" i="13" s="1"/>
  <c r="J6" i="2"/>
  <c r="F58" i="13"/>
  <c r="F32" i="13"/>
  <c r="C34" i="13"/>
  <c r="G34" i="13" s="1"/>
  <c r="F44" i="13"/>
  <c r="F41" i="13"/>
  <c r="F36" i="13"/>
  <c r="F31" i="13"/>
  <c r="F16" i="13"/>
  <c r="C39" i="13"/>
  <c r="G39" i="13" s="1"/>
  <c r="C10" i="13"/>
  <c r="G10" i="13" s="1"/>
  <c r="F24" i="13"/>
  <c r="F8" i="13"/>
  <c r="K3" i="2"/>
  <c r="C47" i="13"/>
  <c r="G47" i="13" s="1"/>
  <c r="F5" i="13"/>
  <c r="F61" i="13"/>
  <c r="C65" i="13"/>
  <c r="G65" i="13" s="1"/>
  <c r="F15" i="13"/>
  <c r="C27" i="13"/>
  <c r="G27" i="13" s="1"/>
  <c r="C26" i="13"/>
  <c r="G26" i="13" s="1"/>
  <c r="F40" i="13"/>
  <c r="F56" i="13"/>
  <c r="F57" i="13"/>
  <c r="F55" i="13"/>
  <c r="F37" i="13"/>
  <c r="L5" i="3"/>
  <c r="M5" i="3" s="1"/>
  <c r="J5" i="3"/>
  <c r="K5" i="3" s="1"/>
  <c r="N77" i="1"/>
  <c r="O77" i="1" s="1"/>
  <c r="F23" i="13"/>
  <c r="F11" i="13"/>
  <c r="C9" i="13"/>
  <c r="G9" i="13" s="1"/>
  <c r="L77" i="1"/>
  <c r="M77" i="1" s="1"/>
  <c r="F64" i="13"/>
  <c r="D13" i="11"/>
  <c r="C11" i="11"/>
  <c r="C19" i="13"/>
  <c r="G19" i="13" s="1"/>
  <c r="C33" i="13"/>
  <c r="G33" i="13" s="1"/>
  <c r="A4" i="13"/>
  <c r="F46" i="13"/>
  <c r="C9" i="11"/>
  <c r="C13" i="1"/>
  <c r="C12" i="13"/>
  <c r="G12" i="13" s="1"/>
  <c r="F17" i="13"/>
  <c r="G8" i="13"/>
  <c r="G41" i="13"/>
  <c r="G15" i="13"/>
  <c r="G12" i="11" l="1"/>
  <c r="E12" i="11" s="1"/>
  <c r="G10" i="11"/>
  <c r="F10" i="11" s="1"/>
  <c r="B13" i="1"/>
  <c r="C15" i="1"/>
  <c r="A6" i="13"/>
  <c r="C13" i="11"/>
  <c r="G14" i="11" s="1"/>
  <c r="D15" i="11"/>
  <c r="F12" i="11" l="1"/>
  <c r="E10" i="11"/>
  <c r="G13" i="11"/>
  <c r="E13" i="11" s="1"/>
  <c r="B15" i="1"/>
  <c r="D9" i="13" s="1"/>
  <c r="C17" i="1"/>
  <c r="A8" i="13"/>
  <c r="E14" i="11"/>
  <c r="F14" i="11"/>
  <c r="C15" i="11"/>
  <c r="G15" i="11" s="1"/>
  <c r="D17" i="11"/>
  <c r="H9" i="11" l="1"/>
  <c r="E6" i="13"/>
  <c r="F13" i="1" s="1"/>
  <c r="K7" i="2"/>
  <c r="F13" i="11"/>
  <c r="H13" i="11" s="1"/>
  <c r="I13" i="11"/>
  <c r="G16" i="11"/>
  <c r="C19" i="1"/>
  <c r="B17" i="1"/>
  <c r="A10" i="13"/>
  <c r="C17" i="11"/>
  <c r="G18" i="11" s="1"/>
  <c r="D19" i="11"/>
  <c r="D8" i="13"/>
  <c r="B6" i="13" l="1"/>
  <c r="C6" i="13" s="1"/>
  <c r="K5" i="2"/>
  <c r="G17" i="11"/>
  <c r="H8" i="13"/>
  <c r="E8" i="13"/>
  <c r="K9" i="2"/>
  <c r="B19" i="1"/>
  <c r="D12" i="13" s="1"/>
  <c r="C21" i="1"/>
  <c r="A12" i="13"/>
  <c r="E16" i="11"/>
  <c r="F16" i="11"/>
  <c r="D10" i="13"/>
  <c r="F18" i="11"/>
  <c r="E18" i="11"/>
  <c r="D11" i="13"/>
  <c r="C19" i="11"/>
  <c r="G19" i="11" s="1"/>
  <c r="D21" i="11"/>
  <c r="E15" i="11"/>
  <c r="G6" i="13" l="1"/>
  <c r="D7" i="13"/>
  <c r="D6" i="13"/>
  <c r="F6" i="13"/>
  <c r="G11" i="11" s="1"/>
  <c r="E11" i="11" s="1"/>
  <c r="I11" i="11" s="1"/>
  <c r="G20" i="11"/>
  <c r="F20" i="11" s="1"/>
  <c r="H10" i="13"/>
  <c r="E10" i="13"/>
  <c r="D13" i="13"/>
  <c r="E12" i="13" s="1"/>
  <c r="F19" i="1" s="1"/>
  <c r="K11" i="2" s="1"/>
  <c r="D23" i="11"/>
  <c r="C21" i="11"/>
  <c r="G22" i="11" s="1"/>
  <c r="F15" i="11"/>
  <c r="H15" i="11" s="1"/>
  <c r="I15" i="11"/>
  <c r="C23" i="1"/>
  <c r="A14" i="13"/>
  <c r="B21" i="1"/>
  <c r="D14" i="13" s="1"/>
  <c r="F11" i="11" l="1"/>
  <c r="H11" i="11" s="1"/>
  <c r="H6" i="13"/>
  <c r="E17" i="11"/>
  <c r="G21" i="11"/>
  <c r="E21" i="11" s="1"/>
  <c r="E19" i="11"/>
  <c r="I19" i="11" s="1"/>
  <c r="E20" i="11"/>
  <c r="D15" i="13"/>
  <c r="H14" i="13" s="1"/>
  <c r="K13" i="2"/>
  <c r="E22" i="11"/>
  <c r="F22" i="11"/>
  <c r="D25" i="11"/>
  <c r="C23" i="11"/>
  <c r="G24" i="11" s="1"/>
  <c r="B23" i="1"/>
  <c r="D17" i="13" s="1"/>
  <c r="A16" i="13"/>
  <c r="C25" i="1"/>
  <c r="H12" i="13"/>
  <c r="F17" i="11" l="1"/>
  <c r="H17" i="11" s="1"/>
  <c r="I17" i="11"/>
  <c r="E14" i="13"/>
  <c r="F19" i="11"/>
  <c r="H19" i="11" s="1"/>
  <c r="E24" i="11"/>
  <c r="F24" i="11"/>
  <c r="A18" i="13"/>
  <c r="C27" i="1"/>
  <c r="B25" i="1"/>
  <c r="D18" i="13" s="1"/>
  <c r="G23" i="11"/>
  <c r="E23" i="11" s="1"/>
  <c r="D27" i="11"/>
  <c r="C25" i="11"/>
  <c r="G26" i="11" s="1"/>
  <c r="F21" i="11"/>
  <c r="H21" i="11" s="1"/>
  <c r="I21" i="11"/>
  <c r="D16" i="13"/>
  <c r="H16" i="13" s="1"/>
  <c r="K15" i="2"/>
  <c r="E16" i="13" l="1"/>
  <c r="K17" i="2"/>
  <c r="E26" i="11"/>
  <c r="F26" i="11"/>
  <c r="I23" i="11"/>
  <c r="F23" i="11"/>
  <c r="H23" i="11" s="1"/>
  <c r="G25" i="11"/>
  <c r="E25" i="11" s="1"/>
  <c r="B27" i="1"/>
  <c r="K19" i="2" s="1"/>
  <c r="A20" i="13"/>
  <c r="C29" i="1"/>
  <c r="D19" i="13"/>
  <c r="H18" i="13" s="1"/>
  <c r="D29" i="11"/>
  <c r="C27" i="11"/>
  <c r="G28" i="11" s="1"/>
  <c r="E18" i="13" l="1"/>
  <c r="F28" i="11"/>
  <c r="E28" i="11"/>
  <c r="F25" i="11"/>
  <c r="H25" i="11" s="1"/>
  <c r="I25" i="11"/>
  <c r="D21" i="13"/>
  <c r="D20" i="13"/>
  <c r="G27" i="11"/>
  <c r="E27" i="11" s="1"/>
  <c r="D31" i="11"/>
  <c r="C29" i="11"/>
  <c r="G29" i="11" s="1"/>
  <c r="A22" i="13"/>
  <c r="C31" i="1"/>
  <c r="B29" i="1"/>
  <c r="K21" i="2" s="1"/>
  <c r="E20" i="13" l="1"/>
  <c r="H20" i="13"/>
  <c r="I27" i="11"/>
  <c r="F27" i="11"/>
  <c r="H27" i="11" s="1"/>
  <c r="D23" i="13"/>
  <c r="G30" i="11"/>
  <c r="D22" i="13"/>
  <c r="E22" i="13" s="1"/>
  <c r="C31" i="11"/>
  <c r="G32" i="11" s="1"/>
  <c r="D33" i="11"/>
  <c r="B31" i="1"/>
  <c r="D25" i="13" s="1"/>
  <c r="C33" i="1"/>
  <c r="A24" i="13"/>
  <c r="D24" i="13" l="1"/>
  <c r="E24" i="13" s="1"/>
  <c r="F32" i="11"/>
  <c r="E32" i="11"/>
  <c r="F30" i="11"/>
  <c r="E30" i="11"/>
  <c r="E29" i="11"/>
  <c r="H22" i="13"/>
  <c r="D35" i="11"/>
  <c r="C33" i="11"/>
  <c r="G34" i="11" s="1"/>
  <c r="G31" i="11"/>
  <c r="E31" i="11" s="1"/>
  <c r="K23" i="2"/>
  <c r="A26" i="13"/>
  <c r="B33" i="1"/>
  <c r="D26" i="13" s="1"/>
  <c r="C35" i="1"/>
  <c r="D27" i="13" l="1"/>
  <c r="H26" i="13" s="1"/>
  <c r="H24" i="13"/>
  <c r="E34" i="11"/>
  <c r="F34" i="11"/>
  <c r="A28" i="13"/>
  <c r="B35" i="1"/>
  <c r="D28" i="13" s="1"/>
  <c r="C37" i="1"/>
  <c r="C35" i="11"/>
  <c r="D37" i="11"/>
  <c r="F29" i="11"/>
  <c r="H29" i="11" s="1"/>
  <c r="I29" i="11"/>
  <c r="K25" i="2"/>
  <c r="I31" i="11"/>
  <c r="F31" i="11"/>
  <c r="H31" i="11" s="1"/>
  <c r="E26" i="13" l="1"/>
  <c r="G36" i="11"/>
  <c r="E36" i="11" s="1"/>
  <c r="D29" i="13"/>
  <c r="H28" i="13" s="1"/>
  <c r="K27" i="2"/>
  <c r="B37" i="1"/>
  <c r="D30" i="13" s="1"/>
  <c r="A30" i="13"/>
  <c r="C39" i="1"/>
  <c r="D39" i="11"/>
  <c r="C37" i="11"/>
  <c r="G38" i="11" s="1"/>
  <c r="E28" i="13" l="1"/>
  <c r="F35" i="1" s="1"/>
  <c r="E33" i="11" s="1"/>
  <c r="K29" i="2"/>
  <c r="F36" i="11"/>
  <c r="G37" i="11"/>
  <c r="E37" i="11" s="1"/>
  <c r="F37" i="11" s="1"/>
  <c r="D31" i="13"/>
  <c r="H30" i="13" s="1"/>
  <c r="C39" i="11"/>
  <c r="G39" i="11" s="1"/>
  <c r="D41" i="11"/>
  <c r="E38" i="11"/>
  <c r="F38" i="11"/>
  <c r="B39" i="1"/>
  <c r="K31" i="2" s="1"/>
  <c r="A32" i="13"/>
  <c r="C41" i="1"/>
  <c r="I33" i="11" l="1"/>
  <c r="F33" i="11"/>
  <c r="H33" i="11" s="1"/>
  <c r="E30" i="13"/>
  <c r="F37" i="1" s="1"/>
  <c r="E35" i="11" s="1"/>
  <c r="F35" i="11" s="1"/>
  <c r="H35" i="11"/>
  <c r="I37" i="11"/>
  <c r="D32" i="13"/>
  <c r="H37" i="11"/>
  <c r="G40" i="11"/>
  <c r="E39" i="11" s="1"/>
  <c r="D33" i="13"/>
  <c r="B41" i="1"/>
  <c r="D34" i="13" s="1"/>
  <c r="A34" i="13"/>
  <c r="C43" i="1"/>
  <c r="C41" i="11"/>
  <c r="G41" i="11" s="1"/>
  <c r="D43" i="11"/>
  <c r="I35" i="11" l="1"/>
  <c r="E32" i="13"/>
  <c r="G42" i="11"/>
  <c r="E41" i="11" s="1"/>
  <c r="H32" i="13"/>
  <c r="D35" i="13"/>
  <c r="H34" i="13" s="1"/>
  <c r="K34" i="2"/>
  <c r="D45" i="11"/>
  <c r="C43" i="11"/>
  <c r="G43" i="11" s="1"/>
  <c r="F39" i="11"/>
  <c r="I39" i="11"/>
  <c r="F40" i="11"/>
  <c r="E40" i="11"/>
  <c r="B43" i="1"/>
  <c r="D37" i="13" s="1"/>
  <c r="A36" i="13"/>
  <c r="C45" i="1"/>
  <c r="F42" i="11" l="1"/>
  <c r="E42" i="11"/>
  <c r="E34" i="13"/>
  <c r="K36" i="2"/>
  <c r="D36" i="13"/>
  <c r="H36" i="13" s="1"/>
  <c r="H39" i="11"/>
  <c r="C47" i="1"/>
  <c r="B45" i="1"/>
  <c r="D39" i="13" s="1"/>
  <c r="A38" i="13"/>
  <c r="G44" i="11"/>
  <c r="E43" i="11" s="1"/>
  <c r="D47" i="11"/>
  <c r="C45" i="11"/>
  <c r="G45" i="11" s="1"/>
  <c r="I41" i="11"/>
  <c r="F41" i="11"/>
  <c r="E36" i="13" l="1"/>
  <c r="H41" i="11"/>
  <c r="G46" i="11"/>
  <c r="E45" i="11" s="1"/>
  <c r="I43" i="11"/>
  <c r="F43" i="11"/>
  <c r="D38" i="13"/>
  <c r="H38" i="13" s="1"/>
  <c r="K38" i="2"/>
  <c r="F44" i="11"/>
  <c r="E44" i="11"/>
  <c r="D49" i="11"/>
  <c r="C47" i="11"/>
  <c r="G48" i="11" s="1"/>
  <c r="C49" i="1"/>
  <c r="A40" i="13"/>
  <c r="B47" i="1"/>
  <c r="D41" i="13" s="1"/>
  <c r="F45" i="11" l="1"/>
  <c r="I45" i="11"/>
  <c r="E46" i="11"/>
  <c r="F46" i="11"/>
  <c r="H43" i="11"/>
  <c r="F48" i="11"/>
  <c r="E48" i="11"/>
  <c r="D40" i="13"/>
  <c r="H40" i="13" s="1"/>
  <c r="G47" i="11"/>
  <c r="E47" i="11" s="1"/>
  <c r="C49" i="11"/>
  <c r="G49" i="11" s="1"/>
  <c r="D51" i="11"/>
  <c r="E38" i="13"/>
  <c r="K40" i="2"/>
  <c r="C51" i="1"/>
  <c r="B49" i="1"/>
  <c r="K42" i="2" s="1"/>
  <c r="A42" i="13"/>
  <c r="E40" i="13" l="1"/>
  <c r="H45" i="11"/>
  <c r="G50" i="11"/>
  <c r="E49" i="11" s="1"/>
  <c r="D43" i="13"/>
  <c r="C51" i="11"/>
  <c r="G52" i="11" s="1"/>
  <c r="D53" i="11"/>
  <c r="D42" i="13"/>
  <c r="I47" i="11"/>
  <c r="F47" i="11"/>
  <c r="H47" i="11" s="1"/>
  <c r="A44" i="13"/>
  <c r="C53" i="1"/>
  <c r="B51" i="1"/>
  <c r="D45" i="13" s="1"/>
  <c r="E42" i="13" l="1"/>
  <c r="G51" i="11"/>
  <c r="E51" i="11" s="1"/>
  <c r="F49" i="11"/>
  <c r="I49" i="11"/>
  <c r="E50" i="11"/>
  <c r="F50" i="11"/>
  <c r="H42" i="13"/>
  <c r="F52" i="11"/>
  <c r="E52" i="11"/>
  <c r="D44" i="13"/>
  <c r="H44" i="13" s="1"/>
  <c r="C53" i="11"/>
  <c r="G54" i="11" s="1"/>
  <c r="D55" i="11"/>
  <c r="K44" i="2"/>
  <c r="B53" i="1"/>
  <c r="D46" i="13" s="1"/>
  <c r="A46" i="13"/>
  <c r="C55" i="1"/>
  <c r="E44" i="13" l="1"/>
  <c r="K46" i="2"/>
  <c r="H49" i="11"/>
  <c r="G53" i="11"/>
  <c r="E53" i="11" s="1"/>
  <c r="D47" i="13"/>
  <c r="E46" i="13" s="1"/>
  <c r="E54" i="11"/>
  <c r="F54" i="11"/>
  <c r="I51" i="11"/>
  <c r="F51" i="11"/>
  <c r="H51" i="11" s="1"/>
  <c r="C57" i="1"/>
  <c r="A48" i="13"/>
  <c r="B55" i="1"/>
  <c r="K48" i="2" s="1"/>
  <c r="D57" i="11"/>
  <c r="C55" i="11"/>
  <c r="G55" i="11" s="1"/>
  <c r="G56" i="11" l="1"/>
  <c r="E55" i="11" s="1"/>
  <c r="I55" i="11" s="1"/>
  <c r="H46" i="13"/>
  <c r="D49" i="13"/>
  <c r="D48" i="13"/>
  <c r="F53" i="11"/>
  <c r="H53" i="11" s="1"/>
  <c r="I53" i="11"/>
  <c r="C57" i="11"/>
  <c r="G57" i="11" s="1"/>
  <c r="D59" i="11"/>
  <c r="B57" i="1"/>
  <c r="K50" i="2" s="1"/>
  <c r="C59" i="1"/>
  <c r="A50" i="13"/>
  <c r="E48" i="13" l="1"/>
  <c r="F56" i="11"/>
  <c r="E56" i="11"/>
  <c r="H48" i="13"/>
  <c r="F55" i="11"/>
  <c r="G58" i="11"/>
  <c r="E57" i="11" s="1"/>
  <c r="D50" i="13"/>
  <c r="D51" i="13"/>
  <c r="C59" i="11"/>
  <c r="G60" i="11" s="1"/>
  <c r="D61" i="11"/>
  <c r="C61" i="1"/>
  <c r="B59" i="1"/>
  <c r="K52" i="2" s="1"/>
  <c r="A52" i="13"/>
  <c r="E50" i="13" l="1"/>
  <c r="H55" i="11"/>
  <c r="H50" i="13"/>
  <c r="F58" i="11"/>
  <c r="E58" i="11"/>
  <c r="G59" i="11"/>
  <c r="E59" i="11" s="1"/>
  <c r="I59" i="11" s="1"/>
  <c r="F60" i="11"/>
  <c r="E60" i="11"/>
  <c r="C61" i="11"/>
  <c r="G61" i="11" s="1"/>
  <c r="D63" i="11"/>
  <c r="D52" i="13"/>
  <c r="B61" i="1"/>
  <c r="C63" i="1"/>
  <c r="A54" i="13"/>
  <c r="D53" i="13"/>
  <c r="F57" i="11"/>
  <c r="I57" i="11"/>
  <c r="H57" i="11" l="1"/>
  <c r="D54" i="13"/>
  <c r="F59" i="11"/>
  <c r="H59" i="11" s="1"/>
  <c r="D55" i="13"/>
  <c r="K54" i="2"/>
  <c r="H52" i="13"/>
  <c r="G62" i="11"/>
  <c r="E61" i="11" s="1"/>
  <c r="B63" i="1"/>
  <c r="K56" i="2" s="1"/>
  <c r="C65" i="1"/>
  <c r="A56" i="13"/>
  <c r="C63" i="11"/>
  <c r="G64" i="11" s="1"/>
  <c r="D65" i="11"/>
  <c r="E52" i="13"/>
  <c r="E54" i="13" l="1"/>
  <c r="D57" i="13"/>
  <c r="D56" i="13"/>
  <c r="H54" i="13"/>
  <c r="E64" i="11"/>
  <c r="F64" i="11"/>
  <c r="A58" i="13"/>
  <c r="C67" i="1"/>
  <c r="B65" i="1"/>
  <c r="D58" i="13" s="1"/>
  <c r="I61" i="11"/>
  <c r="F61" i="11"/>
  <c r="G63" i="11"/>
  <c r="E63" i="11" s="1"/>
  <c r="D67" i="11"/>
  <c r="C65" i="11"/>
  <c r="G66" i="11" s="1"/>
  <c r="E62" i="11"/>
  <c r="F62" i="11"/>
  <c r="E56" i="13" l="1"/>
  <c r="H56" i="13"/>
  <c r="K58" i="2"/>
  <c r="D59" i="13"/>
  <c r="H58" i="13" s="1"/>
  <c r="H61" i="11"/>
  <c r="F66" i="11"/>
  <c r="E66" i="11"/>
  <c r="D69" i="11"/>
  <c r="C67" i="11"/>
  <c r="G68" i="11" s="1"/>
  <c r="F63" i="11"/>
  <c r="H63" i="11" s="1"/>
  <c r="I63" i="11"/>
  <c r="G65" i="11"/>
  <c r="E65" i="11" s="1"/>
  <c r="C69" i="1"/>
  <c r="B67" i="1"/>
  <c r="K60" i="2" s="1"/>
  <c r="A60" i="13"/>
  <c r="E58" i="13" l="1"/>
  <c r="G67" i="11"/>
  <c r="E67" i="11" s="1"/>
  <c r="F68" i="11"/>
  <c r="E68" i="11"/>
  <c r="D61" i="13"/>
  <c r="D60" i="13"/>
  <c r="A62" i="13"/>
  <c r="C71" i="1"/>
  <c r="B69" i="1"/>
  <c r="C69" i="11"/>
  <c r="G70" i="11" s="1"/>
  <c r="I65" i="11"/>
  <c r="F65" i="11"/>
  <c r="H65" i="11" s="1"/>
  <c r="H60" i="13" l="1"/>
  <c r="K62" i="2"/>
  <c r="G69" i="11"/>
  <c r="E69" i="11" s="1"/>
  <c r="F69" i="11" s="1"/>
  <c r="D63" i="13"/>
  <c r="D62" i="13"/>
  <c r="E60" i="13"/>
  <c r="I67" i="11"/>
  <c r="F67" i="11"/>
  <c r="H67" i="11" s="1"/>
  <c r="B71" i="1"/>
  <c r="K64" i="2" s="1"/>
  <c r="A64" i="13"/>
  <c r="F70" i="11"/>
  <c r="E70" i="11"/>
  <c r="F77" i="1" l="1"/>
  <c r="H62" i="13"/>
  <c r="E62" i="13"/>
  <c r="I69" i="11"/>
  <c r="D65" i="13"/>
  <c r="D64" i="13"/>
  <c r="H69" i="11"/>
  <c r="E75" i="11" s="1"/>
  <c r="E77" i="1" l="1"/>
  <c r="F19" i="2"/>
  <c r="U72" i="1" s="1"/>
  <c r="E64" i="13"/>
  <c r="G75" i="11"/>
  <c r="H64" i="13"/>
  <c r="B4" i="13" l="1"/>
  <c r="F4" i="13" s="1"/>
  <c r="G9" i="11" s="1"/>
  <c r="C4" i="13" l="1"/>
  <c r="D4" i="13" s="1"/>
  <c r="D5" i="13"/>
  <c r="H4" i="13" s="1"/>
  <c r="G4" i="13" l="1"/>
  <c r="E4" i="13"/>
  <c r="F11" i="1" s="1"/>
  <c r="E9" i="11" l="1"/>
  <c r="G77" i="1"/>
  <c r="H77" i="1" s="1"/>
  <c r="D5" i="3"/>
  <c r="E5" i="3" s="1"/>
  <c r="C5" i="3"/>
  <c r="B5" i="3" s="1"/>
  <c r="F5" i="3" s="1"/>
  <c r="G5" i="3" s="1"/>
  <c r="F9" i="11" l="1"/>
  <c r="I9" i="11"/>
  <c r="I75" i="11" l="1"/>
  <c r="K75" i="11"/>
</calcChain>
</file>

<file path=xl/sharedStrings.xml><?xml version="1.0" encoding="utf-8"?>
<sst xmlns="http://schemas.openxmlformats.org/spreadsheetml/2006/main" count="594" uniqueCount="213">
  <si>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</si>
  <si>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</si>
  <si>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</si>
  <si>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</si>
  <si>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</si>
  <si>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</si>
  <si>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</si>
  <si>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</si>
  <si>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</si>
  <si>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</si>
  <si>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</si>
  <si>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</si>
  <si>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</si>
  <si>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</si>
  <si>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</si>
  <si>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</si>
  <si>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</si>
  <si>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</si>
  <si>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</si>
  <si>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</si>
  <si>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</si>
  <si>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Rabobank</t>
  </si>
  <si>
    <t>Bank Danamon Indonesia</t>
  </si>
  <si>
    <t>Coca Cola Amatil Indonesia</t>
  </si>
  <si>
    <t>FIF</t>
  </si>
  <si>
    <t>HM Sampoerna</t>
  </si>
  <si>
    <t>Indika</t>
  </si>
  <si>
    <t>CIFOR</t>
  </si>
  <si>
    <t>AXA</t>
  </si>
  <si>
    <t>Adira Finance</t>
  </si>
  <si>
    <t>AIA</t>
  </si>
  <si>
    <t>Bank Permata</t>
  </si>
  <si>
    <t>Prudential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</si>
  <si>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</si>
  <si>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</si>
  <si>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</si>
  <si>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</si>
  <si>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</si>
  <si>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</si>
  <si>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</si>
  <si>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</si>
  <si>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</si>
  <si>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</si>
  <si>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</si>
  <si>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</si>
  <si>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</si>
  <si>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</si>
  <si>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</si>
  <si>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</si>
  <si>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</si>
  <si>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</si>
  <si>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</si>
  <si>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</si>
  <si>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</si>
  <si>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</si>
  <si>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</si>
  <si>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</si>
  <si>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</si>
  <si>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</si>
  <si>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</si>
  <si>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</si>
  <si>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</si>
  <si>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</si>
  <si>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</si>
  <si>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</si>
  <si>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</si>
  <si>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</si>
  <si>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</si>
  <si>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</si>
  <si>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</si>
  <si>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</si>
  <si>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</si>
  <si>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</si>
  <si>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</si>
  <si>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</si>
  <si>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</si>
  <si>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</si>
  <si>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</si>
  <si>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</si>
  <si>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</si>
  <si>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</si>
  <si>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</si>
  <si>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</si>
  <si>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</si>
  <si>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</si>
  <si>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</si>
  <si>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</si>
  <si>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</si>
  <si>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</si>
  <si>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</si>
  <si>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</si>
  <si>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</si>
  <si>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</si>
  <si>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</si>
  <si>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</si>
  <si>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</si>
  <si>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</si>
  <si>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</si>
  <si>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</si>
  <si>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</si>
  <si>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</si>
  <si>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</si>
  <si>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</si>
  <si>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</si>
  <si>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</si>
  <si>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</si>
  <si>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</si>
  <si>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</si>
  <si>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</si>
  <si>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</si>
  <si>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</si>
  <si>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</si>
  <si>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</si>
  <si>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</si>
  <si>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</si>
  <si>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</si>
  <si>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</si>
  <si>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</si>
  <si>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</si>
  <si>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</si>
  <si>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</si>
  <si>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</si>
  <si>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</si>
  <si>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</si>
  <si>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</si>
  <si>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</si>
  <si>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</si>
  <si>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</si>
  <si>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</si>
  <si>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</si>
  <si>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</si>
  <si>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</si>
  <si>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</si>
  <si>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</si>
  <si>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</si>
  <si>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</si>
  <si>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</si>
  <si>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</si>
  <si>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</si>
  <si>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</si>
  <si>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</si>
  <si>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</si>
  <si>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</si>
  <si>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</si>
  <si>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</si>
  <si>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</si>
  <si>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</si>
  <si>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</si>
  <si>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</si>
  <si>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</si>
  <si>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</si>
  <si>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</si>
  <si>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</si>
  <si>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</si>
  <si>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</si>
  <si>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</si>
  <si>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</si>
  <si>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</si>
  <si>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</si>
  <si>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</si>
  <si>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</si>
  <si>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</si>
  <si>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</si>
  <si>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Home Credit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</si>
  <si>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</si>
  <si>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</si>
  <si>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</si>
  <si>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</si>
  <si>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</si>
  <si>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</si>
  <si>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</si>
  <si>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</si>
  <si>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</si>
  <si>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</si>
  <si>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Others</t>
  </si>
  <si>
    <t>My Bizz - CIMB</t>
  </si>
  <si>
    <t>Total Bangun Persada</t>
  </si>
  <si>
    <t>Internal</t>
  </si>
  <si>
    <t>PT. PM Sampoerna ISC</t>
  </si>
  <si>
    <t>Indy Digital Investama</t>
  </si>
  <si>
    <t>MUFG Bank</t>
  </si>
  <si>
    <t>Maybank</t>
  </si>
  <si>
    <t>Permodalan Nasional Madani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</si>
  <si>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</si>
  <si>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</si>
  <si>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</si>
  <si>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</si>
  <si>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</si>
  <si>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</si>
  <si>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</si>
  <si>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</si>
  <si>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</si>
  <si>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</si>
  <si>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</si>
  <si>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</si>
  <si>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</si>
  <si>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</si>
  <si>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</si>
  <si>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</si>
  <si>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</si>
  <si>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</si>
  <si>
    <t>PT. Mitra Profesi Indonesia (IBM)</t>
  </si>
  <si>
    <t>Pertamina Hulu Energy</t>
  </si>
  <si>
    <t>PT. Bahodopi Nickel Smelting Indonesia</t>
  </si>
  <si>
    <t>PT Bussan Auto Finance (BAF)</t>
  </si>
  <si>
    <t>Glico Indonesia</t>
  </si>
  <si>
    <t>Bank Jasa Jakarta</t>
  </si>
  <si>
    <t>Triyana Kadarisman</t>
  </si>
  <si>
    <t>SQL Developer</t>
  </si>
  <si>
    <t>Deployment MTKS Batch 2</t>
  </si>
  <si>
    <t>Renaldo Suyanto</t>
  </si>
  <si>
    <t>Alexander Yovan B</t>
  </si>
  <si>
    <t>Deploymeny MTKS Batch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</si>
</sst>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7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3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/>
    <xf numFmtId="18" fontId="1" fillId="0" borderId="0" xfId="0" applyNumberFormat="1" applyFont="1"/>
    <xf numFmtId="165" fontId="3" fillId="0" borderId="0" xfId="0" applyNumberFormat="1" applyFont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49" fontId="0" fillId="0" borderId="2" xfId="0" applyNumberForma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5" fontId="5" fillId="0" borderId="0" xfId="0" applyNumberFormat="1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Font="1" applyFill="1" applyProtection="1">
      <protection hidden="1"/>
    </xf>
    <xf numFmtId="165" fontId="17" fillId="0" borderId="0" xfId="0" applyNumberFormat="1" applyFont="1" applyProtection="1">
      <protection hidden="1"/>
    </xf>
    <xf numFmtId="165" fontId="13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Protection="1">
      <protection hidden="1"/>
    </xf>
    <xf numFmtId="0" fontId="0" fillId="0" borderId="2" xfId="0" applyBorder="1" applyAlignment="1">
      <alignment horizontal="center" vertical="center" wrapText="1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Border="1" applyAlignment="1" applyProtection="1">
      <alignment horizontal="center" vertical="center"/>
      <protection locked="0"/>
    </xf>
    <xf numFmtId="166" fontId="7" fillId="0" borderId="10" xfId="0" applyNumberFormat="1" applyFont="1" applyBorder="1" applyAlignment="1" applyProtection="1">
      <alignment horizontal="center" vertical="center"/>
      <protection locked="0"/>
    </xf>
    <xf numFmtId="1" fontId="1" fillId="3" borderId="0" xfId="0" applyNumberFormat="1" applyFont="1" applyFill="1"/>
    <xf numFmtId="1" fontId="1" fillId="0" borderId="0" xfId="0" applyNumberFormat="1" applyFont="1"/>
    <xf numFmtId="1" fontId="7" fillId="0" borderId="2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" fillId="0" borderId="2" xfId="0" applyFont="1" applyBorder="1" applyAlignment="1">
      <alignment horizontal="left"/>
    </xf>
    <xf numFmtId="0" fontId="0" fillId="7" borderId="2" xfId="0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Border="1" applyAlignment="1" applyProtection="1">
      <alignment horizontal="center" vertical="center" wrapText="1"/>
      <protection locked="0" hidden="1"/>
    </xf>
    <xf numFmtId="0" fontId="13" fillId="0" borderId="9" xfId="0" applyFont="1" applyBorder="1" applyAlignment="1" applyProtection="1">
      <alignment horizontal="center" vertical="center" wrapText="1"/>
      <protection locked="0" hidden="1"/>
    </xf>
    <xf numFmtId="0" fontId="13" fillId="0" borderId="10" xfId="0" applyFont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Border="1" applyAlignment="1" applyProtection="1">
      <alignment horizontal="left" vertical="center" wrapText="1"/>
      <protection locked="0" hidden="1"/>
    </xf>
    <xf numFmtId="0" fontId="13" fillId="0" borderId="2" xfId="0" applyFont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locked="0" hidden="1"/>
    </xf>
    <xf numFmtId="0" fontId="13" fillId="0" borderId="4" xfId="0" applyFont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164" fontId="13" fillId="0" borderId="2" xfId="0" applyNumberFormat="1" applyFont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 wrapText="1"/>
      <protection hidden="1"/>
    </xf>
    <xf numFmtId="0" fontId="13" fillId="0" borderId="13" xfId="0" applyFont="1" applyBorder="1" applyAlignment="1" applyProtection="1">
      <alignment horizontal="center" vertical="center" wrapText="1"/>
      <protection hidden="1"/>
    </xf>
    <xf numFmtId="0" fontId="13" fillId="0" borderId="14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0" fontId="13" fillId="0" borderId="18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6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3" xfId="0" applyNumberFormat="1" applyFont="1" applyBorder="1" applyAlignment="1" applyProtection="1">
      <alignment horizontal="center" vertical="center"/>
      <protection hidden="1"/>
    </xf>
    <xf numFmtId="164" fontId="13" fillId="0" borderId="4" xfId="0" applyNumberFormat="1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Border="1" applyAlignment="1" applyProtection="1">
      <alignment horizontal="left" vertical="center"/>
      <protection hidden="1"/>
    </xf>
    <xf numFmtId="167" fontId="12" fillId="0" borderId="7" xfId="0" applyNumberFormat="1" applyFont="1" applyBorder="1" applyAlignment="1" applyProtection="1">
      <alignment horizontal="left" vertical="center"/>
      <protection hidden="1"/>
    </xf>
    <xf numFmtId="167" fontId="12" fillId="0" borderId="8" xfId="0" applyNumberFormat="1" applyFont="1" applyBorder="1" applyAlignment="1" applyProtection="1">
      <alignment horizontal="left" vertical="center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7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114300</xdr:rowOff>
        </xdr:from>
        <xdr:to>
          <xdr:col>19</xdr:col>
          <xdr:colOff>444500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76200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2933700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2933700</xdr:colOff>
          <xdr:row>35</xdr:row>
          <xdr:rowOff>749300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3111500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152400</xdr:rowOff>
        </xdr:from>
        <xdr:to>
          <xdr:col>4</xdr:col>
          <xdr:colOff>2971800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76200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mukhtar/Library/Containers/com.microsoft.Excel/Data/Documents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baseColWidth="10" defaultColWidth="8.83203125" defaultRowHeight="1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114300</xdr:rowOff>
              </from>
              <to>
                <xdr:col>19</xdr:col>
                <xdr:colOff>444500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baseColWidth="10" defaultColWidth="9.1640625" defaultRowHeight="20.25" customHeight="1" x14ac:dyDescent="0.2"/>
  <cols>
    <col min="1" max="1" width="5.6640625" style="10" customWidth="1"/>
    <col min="2" max="2" width="45.5" style="10" bestFit="1" customWidth="1"/>
    <col min="3" max="4" width="14.6640625" style="29" customWidth="1"/>
    <col min="5" max="5" width="49.5" style="10" customWidth="1"/>
    <col min="6" max="6" width="63.6640625" style="10" customWidth="1"/>
    <col min="7" max="16384" width="9.1640625" style="10"/>
  </cols>
  <sheetData>
    <row r="1" spans="1:2" ht="20.25" customHeight="1" x14ac:dyDescent="0.25">
      <c r="A1" s="37" t="s">
        <v>197</v>
      </c>
      <c r="B1" s="28"/>
    </row>
    <row r="3" spans="1:2" ht="20.25" customHeight="1" x14ac:dyDescent="0.2">
      <c r="A3" s="38" t="s">
        <v>198</v>
      </c>
    </row>
    <row r="4" spans="1:2" ht="20.25" customHeight="1" x14ac:dyDescent="0.2">
      <c r="A4" s="38" t="s">
        <v>125</v>
      </c>
    </row>
    <row r="5" spans="1:2" ht="20.25" customHeight="1" x14ac:dyDescent="0.2">
      <c r="A5" s="38" t="s">
        <v>144</v>
      </c>
    </row>
    <row r="6" spans="1:2" ht="20.25" customHeight="1" x14ac:dyDescent="0.2">
      <c r="A6" s="38" t="s">
        <v>145</v>
      </c>
    </row>
    <row r="7" spans="1:2" ht="20.25" customHeight="1" x14ac:dyDescent="0.2">
      <c r="A7" s="38" t="s">
        <v>146</v>
      </c>
    </row>
    <row r="8" spans="1:2" ht="20.25" customHeight="1" x14ac:dyDescent="0.2">
      <c r="A8" s="38" t="s">
        <v>199</v>
      </c>
    </row>
    <row r="9" spans="1:2" ht="20.25" customHeight="1" x14ac:dyDescent="0.2">
      <c r="A9" s="38"/>
    </row>
    <row r="10" spans="1:2" ht="20.25" customHeight="1" x14ac:dyDescent="0.2">
      <c r="A10" s="69" t="s">
        <v>147</v>
      </c>
    </row>
    <row r="11" spans="1:2" ht="20.25" customHeight="1" x14ac:dyDescent="0.2">
      <c r="A11" s="38" t="s">
        <v>152</v>
      </c>
    </row>
    <row r="12" spans="1:2" ht="20.25" customHeight="1" x14ac:dyDescent="0.2">
      <c r="A12" s="38" t="s">
        <v>153</v>
      </c>
    </row>
    <row r="13" spans="1:2" ht="20.25" customHeight="1" x14ac:dyDescent="0.2">
      <c r="A13" s="38" t="s">
        <v>154</v>
      </c>
    </row>
    <row r="14" spans="1:2" s="68" customFormat="1" ht="20.25" customHeight="1" x14ac:dyDescent="0.2">
      <c r="A14" s="38" t="s">
        <v>155</v>
      </c>
    </row>
    <row r="15" spans="1:2" s="68" customFormat="1" ht="20.25" customHeight="1" x14ac:dyDescent="0.2">
      <c r="A15" s="38"/>
    </row>
    <row r="16" spans="1:2" s="68" customFormat="1" ht="20.25" customHeight="1" x14ac:dyDescent="0.2">
      <c r="A16" s="70" t="s">
        <v>148</v>
      </c>
    </row>
    <row r="17" spans="1:6" s="68" customFormat="1" ht="20.25" customHeight="1" x14ac:dyDescent="0.2">
      <c r="A17" s="67" t="s">
        <v>149</v>
      </c>
    </row>
    <row r="18" spans="1:6" s="68" customFormat="1" ht="20.25" customHeight="1" x14ac:dyDescent="0.2">
      <c r="A18" s="67" t="s">
        <v>150</v>
      </c>
    </row>
    <row r="19" spans="1:6" s="68" customFormat="1" ht="20.25" customHeight="1" x14ac:dyDescent="0.2">
      <c r="A19" s="67" t="s">
        <v>151</v>
      </c>
    </row>
    <row r="20" spans="1:6" ht="20.25" customHeight="1" x14ac:dyDescent="0.2">
      <c r="A20" s="67"/>
    </row>
    <row r="21" spans="1:6" ht="20.25" customHeight="1" x14ac:dyDescent="0.2">
      <c r="A21" s="70" t="s">
        <v>156</v>
      </c>
    </row>
    <row r="22" spans="1:6" ht="20.25" customHeight="1" x14ac:dyDescent="0.2">
      <c r="A22" s="67"/>
    </row>
    <row r="23" spans="1:6" s="30" customFormat="1" ht="28.5" customHeight="1" x14ac:dyDescent="0.2">
      <c r="A23" s="39" t="s">
        <v>80</v>
      </c>
      <c r="B23" s="39" t="s">
        <v>81</v>
      </c>
      <c r="C23" s="39" t="s">
        <v>123</v>
      </c>
      <c r="D23" s="40" t="s">
        <v>162</v>
      </c>
      <c r="E23" s="39" t="s">
        <v>82</v>
      </c>
      <c r="F23" s="39" t="s">
        <v>83</v>
      </c>
    </row>
    <row r="24" spans="1:6" s="33" customFormat="1" ht="140.25" customHeight="1" x14ac:dyDescent="0.2">
      <c r="A24" s="41">
        <v>1</v>
      </c>
      <c r="B24" s="42" t="s">
        <v>0</v>
      </c>
      <c r="C24" s="43" t="s">
        <v>84</v>
      </c>
      <c r="D24" s="43" t="s">
        <v>108</v>
      </c>
      <c r="E24" s="43" t="s">
        <v>85</v>
      </c>
      <c r="F24" s="44" t="s">
        <v>86</v>
      </c>
    </row>
    <row r="25" spans="1:6" s="33" customFormat="1" ht="20.25" customHeight="1" x14ac:dyDescent="0.2">
      <c r="A25" s="41">
        <v>2</v>
      </c>
      <c r="B25" s="42" t="s">
        <v>1</v>
      </c>
      <c r="C25" s="43" t="s">
        <v>84</v>
      </c>
      <c r="D25" s="43" t="s">
        <v>108</v>
      </c>
      <c r="E25" s="42" t="s">
        <v>87</v>
      </c>
      <c r="F25" s="32"/>
    </row>
    <row r="26" spans="1:6" s="33" customFormat="1" ht="32" x14ac:dyDescent="0.2">
      <c r="A26" s="31">
        <v>3</v>
      </c>
      <c r="B26" s="42" t="s">
        <v>2</v>
      </c>
      <c r="C26" s="43" t="s">
        <v>84</v>
      </c>
      <c r="D26" s="43" t="s">
        <v>108</v>
      </c>
      <c r="E26" s="42" t="s">
        <v>88</v>
      </c>
      <c r="F26" s="45" t="s">
        <v>111</v>
      </c>
    </row>
    <row r="27" spans="1:6" s="33" customFormat="1" ht="78.75" customHeight="1" x14ac:dyDescent="0.2">
      <c r="A27" s="31">
        <v>4</v>
      </c>
      <c r="B27" s="42" t="s">
        <v>166</v>
      </c>
      <c r="C27" s="43" t="s">
        <v>84</v>
      </c>
      <c r="D27" s="43" t="s">
        <v>108</v>
      </c>
      <c r="E27" s="48" t="s">
        <v>172</v>
      </c>
      <c r="F27" s="45" t="s">
        <v>173</v>
      </c>
    </row>
    <row r="28" spans="1:6" s="33" customFormat="1" ht="106.5" customHeight="1" x14ac:dyDescent="0.2">
      <c r="A28" s="31">
        <v>5</v>
      </c>
      <c r="B28" s="42" t="s">
        <v>56</v>
      </c>
      <c r="C28" s="43" t="s">
        <v>84</v>
      </c>
      <c r="D28" s="43" t="s">
        <v>133</v>
      </c>
      <c r="E28" s="46" t="s">
        <v>89</v>
      </c>
      <c r="F28" s="45" t="s">
        <v>112</v>
      </c>
    </row>
    <row r="29" spans="1:6" s="33" customFormat="1" ht="20.25" customHeight="1" x14ac:dyDescent="0.2">
      <c r="A29" s="31">
        <f t="shared" ref="A29:A61" si="0">A28+1</f>
        <v>6</v>
      </c>
      <c r="B29" s="42" t="s">
        <v>3</v>
      </c>
      <c r="C29" s="41" t="s">
        <v>90</v>
      </c>
      <c r="D29" s="41" t="s">
        <v>108</v>
      </c>
      <c r="E29" s="42" t="s">
        <v>91</v>
      </c>
      <c r="F29" s="44" t="s">
        <v>92</v>
      </c>
    </row>
    <row r="30" spans="1:6" s="33" customFormat="1" ht="20.25" customHeight="1" x14ac:dyDescent="0.2">
      <c r="A30" s="31">
        <f t="shared" si="0"/>
        <v>7</v>
      </c>
      <c r="B30" s="42" t="s">
        <v>4</v>
      </c>
      <c r="C30" s="41" t="s">
        <v>90</v>
      </c>
      <c r="D30" s="41" t="s">
        <v>108</v>
      </c>
      <c r="E30" s="44" t="s">
        <v>93</v>
      </c>
      <c r="F30" s="32"/>
    </row>
    <row r="31" spans="1:6" s="33" customFormat="1" ht="20.25" customHeight="1" x14ac:dyDescent="0.2">
      <c r="A31" s="31">
        <f t="shared" si="0"/>
        <v>8</v>
      </c>
      <c r="B31" s="42" t="s">
        <v>5</v>
      </c>
      <c r="C31" s="41" t="s">
        <v>90</v>
      </c>
      <c r="D31" s="41" t="s">
        <v>108</v>
      </c>
      <c r="E31" s="44" t="s">
        <v>94</v>
      </c>
      <c r="F31" s="32"/>
    </row>
    <row r="32" spans="1:6" s="33" customFormat="1" ht="32" x14ac:dyDescent="0.2">
      <c r="A32" s="31">
        <f t="shared" si="0"/>
        <v>9</v>
      </c>
      <c r="B32" s="42" t="s">
        <v>95</v>
      </c>
      <c r="C32" s="41" t="s">
        <v>84</v>
      </c>
      <c r="D32" s="41" t="s">
        <v>108</v>
      </c>
      <c r="E32" s="44" t="s">
        <v>96</v>
      </c>
      <c r="F32" s="45" t="s">
        <v>97</v>
      </c>
    </row>
    <row r="33" spans="1:6" s="33" customFormat="1" ht="15" x14ac:dyDescent="0.2">
      <c r="A33" s="31">
        <f t="shared" si="0"/>
        <v>10</v>
      </c>
      <c r="B33" s="42" t="s">
        <v>98</v>
      </c>
      <c r="C33" s="41" t="s">
        <v>84</v>
      </c>
      <c r="D33" s="41" t="s">
        <v>108</v>
      </c>
      <c r="E33" s="44" t="s">
        <v>99</v>
      </c>
      <c r="F33" s="44" t="s">
        <v>124</v>
      </c>
    </row>
    <row r="34" spans="1:6" s="33" customFormat="1" ht="20.25" customHeight="1" x14ac:dyDescent="0.2">
      <c r="A34" s="31">
        <f t="shared" si="0"/>
        <v>11</v>
      </c>
      <c r="B34" s="42" t="s">
        <v>13</v>
      </c>
      <c r="C34" s="41" t="s">
        <v>90</v>
      </c>
      <c r="D34" s="41" t="s">
        <v>108</v>
      </c>
      <c r="E34" s="44" t="s">
        <v>100</v>
      </c>
      <c r="F34" s="32"/>
    </row>
    <row r="35" spans="1:6" s="33" customFormat="1" ht="32" x14ac:dyDescent="0.2">
      <c r="A35" s="31">
        <f t="shared" si="0"/>
        <v>12</v>
      </c>
      <c r="B35" s="42" t="s">
        <v>14</v>
      </c>
      <c r="C35" s="41" t="s">
        <v>90</v>
      </c>
      <c r="D35" s="41" t="s">
        <v>108</v>
      </c>
      <c r="E35" s="45" t="s">
        <v>101</v>
      </c>
      <c r="F35" s="32"/>
    </row>
    <row r="36" spans="1:6" s="33" customFormat="1" ht="65.25" customHeight="1" x14ac:dyDescent="0.2">
      <c r="A36" s="31">
        <f t="shared" si="0"/>
        <v>13</v>
      </c>
      <c r="B36" s="42" t="s">
        <v>57</v>
      </c>
      <c r="C36" s="41" t="s">
        <v>84</v>
      </c>
      <c r="D36" s="41" t="s">
        <v>133</v>
      </c>
      <c r="E36" s="43" t="s">
        <v>102</v>
      </c>
      <c r="F36" s="44" t="s">
        <v>113</v>
      </c>
    </row>
    <row r="37" spans="1:6" s="33" customFormat="1" ht="34.5" customHeight="1" x14ac:dyDescent="0.2">
      <c r="A37" s="31">
        <f t="shared" si="0"/>
        <v>14</v>
      </c>
      <c r="B37" s="42" t="s">
        <v>8</v>
      </c>
      <c r="C37" s="41" t="s">
        <v>90</v>
      </c>
      <c r="D37" s="41" t="s">
        <v>133</v>
      </c>
      <c r="E37" s="45" t="s">
        <v>114</v>
      </c>
      <c r="F37" s="32"/>
    </row>
    <row r="38" spans="1:6" s="33" customFormat="1" ht="35.25" customHeight="1" x14ac:dyDescent="0.2">
      <c r="A38" s="31">
        <f t="shared" si="0"/>
        <v>15</v>
      </c>
      <c r="B38" s="42" t="s">
        <v>9</v>
      </c>
      <c r="C38" s="41" t="s">
        <v>90</v>
      </c>
      <c r="D38" s="41" t="s">
        <v>133</v>
      </c>
      <c r="E38" s="45" t="s">
        <v>115</v>
      </c>
      <c r="F38" s="32"/>
    </row>
    <row r="39" spans="1:6" s="33" customFormat="1" ht="165.75" customHeight="1" x14ac:dyDescent="0.2">
      <c r="A39" s="31">
        <f t="shared" si="0"/>
        <v>16</v>
      </c>
      <c r="B39" s="42" t="s">
        <v>10</v>
      </c>
      <c r="C39" s="41" t="s">
        <v>84</v>
      </c>
      <c r="D39" s="41" t="s">
        <v>108</v>
      </c>
      <c r="E39" s="43" t="s">
        <v>103</v>
      </c>
      <c r="F39" s="44" t="s">
        <v>86</v>
      </c>
    </row>
    <row r="40" spans="1:6" s="33" customFormat="1" ht="18" customHeight="1" x14ac:dyDescent="0.2">
      <c r="A40" s="31">
        <f t="shared" si="0"/>
        <v>17</v>
      </c>
      <c r="B40" s="42" t="s">
        <v>83</v>
      </c>
      <c r="C40" s="41" t="s">
        <v>84</v>
      </c>
      <c r="D40" s="41" t="s">
        <v>133</v>
      </c>
      <c r="E40" s="47" t="s">
        <v>104</v>
      </c>
      <c r="F40" s="32"/>
    </row>
    <row r="41" spans="1:6" s="33" customFormat="1" ht="20.25" customHeight="1" x14ac:dyDescent="0.2">
      <c r="A41" s="31">
        <f t="shared" si="0"/>
        <v>18</v>
      </c>
      <c r="B41" s="42" t="s">
        <v>44</v>
      </c>
      <c r="C41" s="41" t="s">
        <v>90</v>
      </c>
      <c r="D41" s="41" t="s">
        <v>108</v>
      </c>
      <c r="E41" s="44" t="s">
        <v>105</v>
      </c>
      <c r="F41" s="32"/>
    </row>
    <row r="42" spans="1:6" s="33" customFormat="1" ht="20.25" customHeight="1" x14ac:dyDescent="0.2">
      <c r="A42" s="31">
        <f t="shared" si="0"/>
        <v>19</v>
      </c>
      <c r="B42" s="42" t="s">
        <v>45</v>
      </c>
      <c r="C42" s="41" t="s">
        <v>90</v>
      </c>
      <c r="D42" s="41" t="s">
        <v>108</v>
      </c>
      <c r="E42" s="44" t="s">
        <v>105</v>
      </c>
      <c r="F42" s="32"/>
    </row>
    <row r="43" spans="1:6" s="33" customFormat="1" ht="20.25" customHeight="1" x14ac:dyDescent="0.2">
      <c r="A43" s="31">
        <f t="shared" si="0"/>
        <v>20</v>
      </c>
      <c r="B43" s="42" t="s">
        <v>46</v>
      </c>
      <c r="C43" s="41" t="s">
        <v>90</v>
      </c>
      <c r="D43" s="41" t="s">
        <v>108</v>
      </c>
      <c r="E43" s="44" t="s">
        <v>105</v>
      </c>
      <c r="F43" s="32"/>
    </row>
    <row r="44" spans="1:6" s="33" customFormat="1" ht="20.25" customHeight="1" x14ac:dyDescent="0.2">
      <c r="A44" s="31">
        <f t="shared" si="0"/>
        <v>21</v>
      </c>
      <c r="B44" s="42" t="s">
        <v>47</v>
      </c>
      <c r="C44" s="41" t="s">
        <v>90</v>
      </c>
      <c r="D44" s="41" t="s">
        <v>108</v>
      </c>
      <c r="E44" s="44" t="s">
        <v>105</v>
      </c>
      <c r="F44" s="32"/>
    </row>
    <row r="45" spans="1:6" s="33" customFormat="1" ht="20.25" customHeight="1" x14ac:dyDescent="0.2">
      <c r="A45" s="31">
        <f t="shared" si="0"/>
        <v>22</v>
      </c>
      <c r="B45" s="42" t="s">
        <v>64</v>
      </c>
      <c r="C45" s="41" t="s">
        <v>90</v>
      </c>
      <c r="D45" s="41" t="s">
        <v>108</v>
      </c>
      <c r="E45" s="44" t="s">
        <v>105</v>
      </c>
      <c r="F45" s="32"/>
    </row>
    <row r="46" spans="1:6" s="33" customFormat="1" ht="20.25" customHeight="1" x14ac:dyDescent="0.2">
      <c r="A46" s="31">
        <f t="shared" si="0"/>
        <v>23</v>
      </c>
      <c r="B46" s="42" t="s">
        <v>65</v>
      </c>
      <c r="C46" s="41" t="s">
        <v>90</v>
      </c>
      <c r="D46" s="41" t="s">
        <v>108</v>
      </c>
      <c r="E46" s="44" t="s">
        <v>105</v>
      </c>
      <c r="F46" s="32"/>
    </row>
    <row r="47" spans="1:6" s="33" customFormat="1" ht="20.25" customHeight="1" x14ac:dyDescent="0.2">
      <c r="A47" s="31">
        <f t="shared" si="0"/>
        <v>24</v>
      </c>
      <c r="B47" s="42" t="s">
        <v>66</v>
      </c>
      <c r="C47" s="41" t="s">
        <v>90</v>
      </c>
      <c r="D47" s="41" t="s">
        <v>108</v>
      </c>
      <c r="E47" s="44" t="s">
        <v>105</v>
      </c>
      <c r="F47" s="32"/>
    </row>
    <row r="48" spans="1:6" s="33" customFormat="1" ht="20.25" customHeight="1" x14ac:dyDescent="0.2">
      <c r="A48" s="31">
        <f t="shared" si="0"/>
        <v>25</v>
      </c>
      <c r="B48" s="42" t="s">
        <v>67</v>
      </c>
      <c r="C48" s="41" t="s">
        <v>90</v>
      </c>
      <c r="D48" s="41" t="s">
        <v>108</v>
      </c>
      <c r="E48" s="44" t="s">
        <v>105</v>
      </c>
      <c r="F48" s="32"/>
    </row>
    <row r="49" spans="1:6" s="33" customFormat="1" ht="20.25" customHeight="1" x14ac:dyDescent="0.2">
      <c r="A49" s="31">
        <f t="shared" si="0"/>
        <v>26</v>
      </c>
      <c r="B49" s="42" t="s">
        <v>68</v>
      </c>
      <c r="C49" s="41" t="s">
        <v>90</v>
      </c>
      <c r="D49" s="41" t="s">
        <v>108</v>
      </c>
      <c r="E49" s="44" t="s">
        <v>105</v>
      </c>
      <c r="F49" s="32"/>
    </row>
    <row r="50" spans="1:6" s="33" customFormat="1" ht="20.25" customHeight="1" x14ac:dyDescent="0.2">
      <c r="A50" s="31">
        <f t="shared" si="0"/>
        <v>27</v>
      </c>
      <c r="B50" s="42" t="s">
        <v>50</v>
      </c>
      <c r="C50" s="41" t="s">
        <v>90</v>
      </c>
      <c r="D50" s="41" t="s">
        <v>108</v>
      </c>
      <c r="E50" s="44" t="s">
        <v>105</v>
      </c>
      <c r="F50" s="32"/>
    </row>
    <row r="51" spans="1:6" s="33" customFormat="1" ht="20.25" customHeight="1" x14ac:dyDescent="0.2">
      <c r="A51" s="31">
        <f t="shared" si="0"/>
        <v>28</v>
      </c>
      <c r="B51" s="42" t="s">
        <v>51</v>
      </c>
      <c r="C51" s="41" t="s">
        <v>90</v>
      </c>
      <c r="D51" s="41" t="s">
        <v>108</v>
      </c>
      <c r="E51" s="44" t="s">
        <v>105</v>
      </c>
      <c r="F51" s="32"/>
    </row>
    <row r="52" spans="1:6" s="33" customFormat="1" ht="20.25" customHeight="1" x14ac:dyDescent="0.2">
      <c r="A52" s="31">
        <f t="shared" si="0"/>
        <v>29</v>
      </c>
      <c r="B52" s="42" t="s">
        <v>52</v>
      </c>
      <c r="C52" s="41" t="s">
        <v>90</v>
      </c>
      <c r="D52" s="41" t="s">
        <v>108</v>
      </c>
      <c r="E52" s="44" t="s">
        <v>105</v>
      </c>
      <c r="F52" s="32"/>
    </row>
    <row r="53" spans="1:6" s="33" customFormat="1" ht="20.25" customHeight="1" x14ac:dyDescent="0.2">
      <c r="A53" s="31">
        <f t="shared" si="0"/>
        <v>30</v>
      </c>
      <c r="B53" s="42" t="s">
        <v>53</v>
      </c>
      <c r="C53" s="41" t="s">
        <v>90</v>
      </c>
      <c r="D53" s="41" t="s">
        <v>108</v>
      </c>
      <c r="E53" s="44" t="s">
        <v>105</v>
      </c>
      <c r="F53" s="32"/>
    </row>
    <row r="54" spans="1:6" s="33" customFormat="1" ht="20.25" customHeight="1" x14ac:dyDescent="0.2">
      <c r="A54" s="31">
        <f t="shared" si="0"/>
        <v>31</v>
      </c>
      <c r="B54" s="42" t="s">
        <v>55</v>
      </c>
      <c r="C54" s="41" t="s">
        <v>90</v>
      </c>
      <c r="D54" s="41" t="s">
        <v>108</v>
      </c>
      <c r="E54" s="44" t="s">
        <v>105</v>
      </c>
      <c r="F54" s="32"/>
    </row>
    <row r="55" spans="1:6" s="33" customFormat="1" ht="20.25" customHeight="1" x14ac:dyDescent="0.2">
      <c r="A55" s="31">
        <f t="shared" si="0"/>
        <v>32</v>
      </c>
      <c r="B55" s="42" t="s">
        <v>54</v>
      </c>
      <c r="C55" s="41" t="s">
        <v>90</v>
      </c>
      <c r="D55" s="41" t="s">
        <v>108</v>
      </c>
      <c r="E55" s="44" t="s">
        <v>105</v>
      </c>
      <c r="F55" s="32"/>
    </row>
    <row r="56" spans="1:6" s="33" customFormat="1" ht="20.25" customHeight="1" x14ac:dyDescent="0.2">
      <c r="A56" s="31">
        <f t="shared" si="0"/>
        <v>33</v>
      </c>
      <c r="B56" s="42" t="s">
        <v>1</v>
      </c>
      <c r="C56" s="41" t="s">
        <v>90</v>
      </c>
      <c r="D56" s="41" t="s">
        <v>108</v>
      </c>
      <c r="E56" s="44" t="s">
        <v>106</v>
      </c>
      <c r="F56" s="32"/>
    </row>
    <row r="57" spans="1:6" s="33" customFormat="1" ht="20.25" customHeight="1" x14ac:dyDescent="0.2">
      <c r="A57" s="31">
        <f t="shared" si="0"/>
        <v>34</v>
      </c>
      <c r="B57" s="42" t="s">
        <v>11</v>
      </c>
      <c r="C57" s="41" t="s">
        <v>90</v>
      </c>
      <c r="D57" s="41" t="s">
        <v>108</v>
      </c>
      <c r="E57" s="48" t="s">
        <v>107</v>
      </c>
      <c r="F57" s="44"/>
    </row>
    <row r="58" spans="1:6" s="33" customFormat="1" ht="16" x14ac:dyDescent="0.2">
      <c r="A58" s="31">
        <f t="shared" si="0"/>
        <v>35</v>
      </c>
      <c r="B58" s="42" t="s">
        <v>128</v>
      </c>
      <c r="C58" s="41" t="s">
        <v>84</v>
      </c>
      <c r="D58" s="41" t="s">
        <v>133</v>
      </c>
      <c r="E58" s="48" t="s">
        <v>116</v>
      </c>
      <c r="F58" s="44"/>
    </row>
    <row r="59" spans="1:6" s="33" customFormat="1" ht="20.25" customHeight="1" x14ac:dyDescent="0.2">
      <c r="A59" s="31">
        <f t="shared" si="0"/>
        <v>36</v>
      </c>
      <c r="B59" s="42" t="s">
        <v>11</v>
      </c>
      <c r="C59" s="41" t="s">
        <v>90</v>
      </c>
      <c r="D59" s="41" t="s">
        <v>133</v>
      </c>
      <c r="E59" s="48" t="s">
        <v>109</v>
      </c>
      <c r="F59" s="32"/>
    </row>
    <row r="60" spans="1:6" s="33" customFormat="1" ht="32" x14ac:dyDescent="0.2">
      <c r="A60" s="31">
        <f t="shared" si="0"/>
        <v>37</v>
      </c>
      <c r="B60" s="42" t="s">
        <v>129</v>
      </c>
      <c r="C60" s="41" t="s">
        <v>84</v>
      </c>
      <c r="D60" s="41" t="s">
        <v>108</v>
      </c>
      <c r="E60" s="48" t="s">
        <v>117</v>
      </c>
      <c r="F60" s="32"/>
    </row>
    <row r="61" spans="1:6" s="33" customFormat="1" ht="20.25" customHeight="1" x14ac:dyDescent="0.2">
      <c r="A61" s="31">
        <f t="shared" si="0"/>
        <v>38</v>
      </c>
      <c r="B61" s="42" t="s">
        <v>11</v>
      </c>
      <c r="C61" s="41" t="s">
        <v>90</v>
      </c>
      <c r="D61" s="41" t="s">
        <v>108</v>
      </c>
      <c r="E61" s="48" t="s">
        <v>110</v>
      </c>
      <c r="F61" s="44"/>
    </row>
    <row r="62" spans="1:6" ht="27" customHeight="1" x14ac:dyDescent="0.2"/>
    <row r="63" spans="1:6" ht="20.25" customHeight="1" x14ac:dyDescent="0.2">
      <c r="A63" s="71" t="s">
        <v>157</v>
      </c>
    </row>
    <row r="64" spans="1:6" ht="20.25" customHeight="1" x14ac:dyDescent="0.2">
      <c r="A64" s="71"/>
    </row>
    <row r="65" spans="1:6" ht="20.25" customHeight="1" x14ac:dyDescent="0.2">
      <c r="A65" s="39" t="s">
        <v>60</v>
      </c>
      <c r="B65" s="39" t="s">
        <v>81</v>
      </c>
      <c r="C65" s="39" t="s">
        <v>123</v>
      </c>
      <c r="D65" s="40" t="s">
        <v>162</v>
      </c>
      <c r="E65" s="39" t="s">
        <v>82</v>
      </c>
      <c r="F65" s="39" t="s">
        <v>83</v>
      </c>
    </row>
    <row r="66" spans="1:6" ht="20.25" customHeight="1" x14ac:dyDescent="0.2">
      <c r="A66" s="41">
        <v>1</v>
      </c>
      <c r="B66" s="42" t="s">
        <v>0</v>
      </c>
      <c r="C66" s="41" t="s">
        <v>90</v>
      </c>
      <c r="D66" s="43" t="s">
        <v>108</v>
      </c>
      <c r="E66" s="47" t="s">
        <v>105</v>
      </c>
      <c r="F66" s="44" t="s">
        <v>161</v>
      </c>
    </row>
    <row r="67" spans="1:6" ht="20.25" customHeight="1" x14ac:dyDescent="0.2">
      <c r="A67" s="41">
        <v>2</v>
      </c>
      <c r="B67" s="42" t="s">
        <v>1</v>
      </c>
      <c r="C67" s="41" t="s">
        <v>90</v>
      </c>
      <c r="D67" s="43" t="s">
        <v>108</v>
      </c>
      <c r="E67" s="42" t="s">
        <v>105</v>
      </c>
      <c r="F67" s="32" t="s">
        <v>161</v>
      </c>
    </row>
    <row r="68" spans="1:6" ht="20.25" customHeight="1" x14ac:dyDescent="0.2">
      <c r="A68" s="31">
        <v>3</v>
      </c>
      <c r="B68" s="42" t="s">
        <v>2</v>
      </c>
      <c r="C68" s="41" t="s">
        <v>90</v>
      </c>
      <c r="D68" s="43" t="s">
        <v>108</v>
      </c>
      <c r="E68" s="42" t="s">
        <v>105</v>
      </c>
      <c r="F68" s="45" t="s">
        <v>161</v>
      </c>
    </row>
    <row r="69" spans="1:6" ht="20.25" customHeight="1" x14ac:dyDescent="0.2">
      <c r="A69" s="31">
        <v>4</v>
      </c>
      <c r="B69" s="42" t="s">
        <v>3</v>
      </c>
      <c r="C69" s="41" t="s">
        <v>90</v>
      </c>
      <c r="D69" s="43" t="s">
        <v>108</v>
      </c>
      <c r="E69" s="42" t="s">
        <v>105</v>
      </c>
      <c r="F69" s="44" t="s">
        <v>161</v>
      </c>
    </row>
    <row r="70" spans="1:6" ht="20.25" customHeight="1" x14ac:dyDescent="0.2">
      <c r="A70" s="31">
        <v>5</v>
      </c>
      <c r="B70" s="42" t="s">
        <v>4</v>
      </c>
      <c r="C70" s="41" t="s">
        <v>90</v>
      </c>
      <c r="D70" s="43" t="s">
        <v>108</v>
      </c>
      <c r="E70" s="42" t="s">
        <v>105</v>
      </c>
      <c r="F70" s="32" t="s">
        <v>161</v>
      </c>
    </row>
    <row r="71" spans="1:6" ht="20.25" customHeight="1" x14ac:dyDescent="0.2">
      <c r="A71" s="31">
        <v>6</v>
      </c>
      <c r="B71" s="42" t="s">
        <v>5</v>
      </c>
      <c r="C71" s="41" t="s">
        <v>90</v>
      </c>
      <c r="D71" s="43" t="s">
        <v>108</v>
      </c>
      <c r="E71" s="42" t="s">
        <v>105</v>
      </c>
      <c r="F71" s="32" t="s">
        <v>161</v>
      </c>
    </row>
    <row r="72" spans="1:6" ht="20.25" customHeight="1" x14ac:dyDescent="0.2">
      <c r="A72" s="31">
        <v>7</v>
      </c>
      <c r="B72" s="42" t="s">
        <v>95</v>
      </c>
      <c r="C72" s="41" t="s">
        <v>90</v>
      </c>
      <c r="D72" s="43" t="s">
        <v>108</v>
      </c>
      <c r="E72" s="42" t="s">
        <v>105</v>
      </c>
      <c r="F72" s="45" t="s">
        <v>161</v>
      </c>
    </row>
    <row r="73" spans="1:6" ht="20.25" customHeight="1" x14ac:dyDescent="0.2">
      <c r="A73" s="31">
        <v>8</v>
      </c>
      <c r="B73" s="42" t="s">
        <v>98</v>
      </c>
      <c r="C73" s="41" t="s">
        <v>90</v>
      </c>
      <c r="D73" s="43" t="s">
        <v>108</v>
      </c>
      <c r="E73" s="42" t="s">
        <v>105</v>
      </c>
      <c r="F73" s="44" t="s">
        <v>161</v>
      </c>
    </row>
    <row r="74" spans="1:6" ht="78.75" customHeight="1" x14ac:dyDescent="0.2">
      <c r="A74" s="31">
        <v>9</v>
      </c>
      <c r="B74" s="42" t="s">
        <v>158</v>
      </c>
      <c r="C74" s="41" t="s">
        <v>84</v>
      </c>
      <c r="D74" s="43" t="s">
        <v>108</v>
      </c>
      <c r="E74" s="72" t="s">
        <v>89</v>
      </c>
      <c r="F74" s="32" t="s">
        <v>86</v>
      </c>
    </row>
    <row r="75" spans="1:6" ht="20.25" customHeight="1" x14ac:dyDescent="0.2">
      <c r="A75" s="31">
        <v>10</v>
      </c>
      <c r="B75" s="42" t="s">
        <v>14</v>
      </c>
      <c r="C75" s="41" t="s">
        <v>90</v>
      </c>
      <c r="D75" s="43" t="s">
        <v>108</v>
      </c>
      <c r="E75" s="48" t="s">
        <v>105</v>
      </c>
      <c r="F75" s="32"/>
    </row>
    <row r="76" spans="1:6" ht="20.25" customHeight="1" x14ac:dyDescent="0.2">
      <c r="A76" s="31">
        <v>11</v>
      </c>
      <c r="B76" s="42" t="s">
        <v>159</v>
      </c>
      <c r="C76" s="41" t="s">
        <v>90</v>
      </c>
      <c r="D76" s="43" t="s">
        <v>108</v>
      </c>
      <c r="E76" s="47" t="s">
        <v>105</v>
      </c>
      <c r="F76" s="44"/>
    </row>
    <row r="77" spans="1:6" ht="20.25" customHeight="1" x14ac:dyDescent="0.2">
      <c r="A77" s="31">
        <v>12</v>
      </c>
      <c r="B77" s="42" t="s">
        <v>160</v>
      </c>
      <c r="C77" s="41" t="s">
        <v>90</v>
      </c>
      <c r="D77" s="43" t="s">
        <v>108</v>
      </c>
      <c r="E77" s="48" t="s">
        <v>105</v>
      </c>
      <c r="F77" s="32"/>
    </row>
    <row r="78" spans="1:6" ht="20.25" customHeight="1" x14ac:dyDescent="0.2">
      <c r="A78" s="31">
        <v>13</v>
      </c>
      <c r="B78" s="42" t="s">
        <v>83</v>
      </c>
      <c r="C78" s="41" t="s">
        <v>90</v>
      </c>
      <c r="D78" s="43" t="s">
        <v>108</v>
      </c>
      <c r="E78" s="47" t="s">
        <v>105</v>
      </c>
      <c r="F78" s="32"/>
    </row>
    <row r="79" spans="1:6" ht="20.25" customHeight="1" x14ac:dyDescent="0.2">
      <c r="A79" s="31">
        <v>14</v>
      </c>
      <c r="B79" s="42" t="s">
        <v>67</v>
      </c>
      <c r="C79" s="41" t="s">
        <v>90</v>
      </c>
      <c r="D79" s="43" t="s">
        <v>108</v>
      </c>
      <c r="E79" s="42" t="s">
        <v>105</v>
      </c>
      <c r="F79" s="32"/>
    </row>
    <row r="80" spans="1:6" ht="20.25" customHeight="1" x14ac:dyDescent="0.2">
      <c r="A80" s="31">
        <v>15</v>
      </c>
      <c r="B80" s="42" t="s">
        <v>68</v>
      </c>
      <c r="C80" s="41" t="s">
        <v>90</v>
      </c>
      <c r="D80" s="43" t="s">
        <v>108</v>
      </c>
      <c r="E80" s="42" t="s">
        <v>105</v>
      </c>
      <c r="F80" s="32"/>
    </row>
    <row r="81" spans="1:6" ht="20.25" customHeight="1" x14ac:dyDescent="0.2">
      <c r="A81" s="31">
        <v>16</v>
      </c>
      <c r="B81" s="42" t="s">
        <v>50</v>
      </c>
      <c r="C81" s="41" t="s">
        <v>90</v>
      </c>
      <c r="D81" s="43" t="s">
        <v>108</v>
      </c>
      <c r="E81" s="42" t="s">
        <v>105</v>
      </c>
      <c r="F81" s="32"/>
    </row>
    <row r="82" spans="1:6" ht="20.25" customHeight="1" x14ac:dyDescent="0.2">
      <c r="A82" s="31">
        <v>17</v>
      </c>
      <c r="B82" s="42" t="s">
        <v>51</v>
      </c>
      <c r="C82" s="41" t="s">
        <v>90</v>
      </c>
      <c r="D82" s="43" t="s">
        <v>108</v>
      </c>
      <c r="E82" s="42" t="s">
        <v>105</v>
      </c>
      <c r="F82" s="32"/>
    </row>
    <row r="83" spans="1:6" ht="20.25" customHeight="1" x14ac:dyDescent="0.2">
      <c r="A83" s="31">
        <v>18</v>
      </c>
      <c r="B83" s="42" t="s">
        <v>1</v>
      </c>
      <c r="C83" s="41" t="s">
        <v>90</v>
      </c>
      <c r="D83" s="43" t="s">
        <v>108</v>
      </c>
      <c r="E83" s="44" t="s">
        <v>106</v>
      </c>
      <c r="F83" s="32" t="s">
        <v>161</v>
      </c>
    </row>
    <row r="84" spans="1:6" ht="19.5" customHeight="1" x14ac:dyDescent="0.2">
      <c r="A84" s="31">
        <v>19</v>
      </c>
      <c r="B84" s="42" t="s">
        <v>11</v>
      </c>
      <c r="C84" s="41" t="s">
        <v>90</v>
      </c>
      <c r="D84" s="43" t="s">
        <v>133</v>
      </c>
      <c r="E84" s="48" t="s">
        <v>107</v>
      </c>
      <c r="F84" s="44"/>
    </row>
    <row r="85" spans="1:6" ht="19.5" customHeight="1" x14ac:dyDescent="0.2">
      <c r="A85" s="31">
        <v>20</v>
      </c>
      <c r="B85" s="42" t="s">
        <v>128</v>
      </c>
      <c r="C85" s="41" t="s">
        <v>84</v>
      </c>
      <c r="D85" s="43" t="s">
        <v>108</v>
      </c>
      <c r="E85" s="48" t="s">
        <v>116</v>
      </c>
      <c r="F85" s="44"/>
    </row>
    <row r="86" spans="1:6" ht="20.25" customHeight="1" x14ac:dyDescent="0.2">
      <c r="A86" s="31">
        <v>21</v>
      </c>
      <c r="B86" s="42" t="s">
        <v>11</v>
      </c>
      <c r="C86" s="41" t="s">
        <v>90</v>
      </c>
      <c r="D86" s="43" t="s">
        <v>133</v>
      </c>
      <c r="E86" s="48" t="s">
        <v>109</v>
      </c>
      <c r="F86" s="32"/>
    </row>
    <row r="87" spans="1:6" ht="35.25" customHeight="1" x14ac:dyDescent="0.2">
      <c r="A87" s="31">
        <v>22</v>
      </c>
      <c r="B87" s="42" t="s">
        <v>129</v>
      </c>
      <c r="C87" s="41" t="s">
        <v>84</v>
      </c>
      <c r="D87" s="43" t="s">
        <v>108</v>
      </c>
      <c r="E87" s="48" t="s">
        <v>117</v>
      </c>
      <c r="F87" s="32"/>
    </row>
    <row r="88" spans="1:6" ht="20.25" customHeight="1" x14ac:dyDescent="0.2">
      <c r="A88" s="31">
        <v>23</v>
      </c>
      <c r="B88" s="42" t="s">
        <v>11</v>
      </c>
      <c r="C88" s="41" t="s">
        <v>90</v>
      </c>
      <c r="D88" s="43" t="s">
        <v>108</v>
      </c>
      <c r="E88" s="48" t="s">
        <v>110</v>
      </c>
      <c r="F88" s="44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76200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2933700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2933700</xdr:colOff>
                    <xdr:row>35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3111500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152400</xdr:rowOff>
                  </from>
                  <to>
                    <xdr:col>4</xdr:col>
                    <xdr:colOff>2971800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76200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baseColWidth="10" defaultColWidth="8.83203125" defaultRowHeight="15" x14ac:dyDescent="0.2"/>
  <sheetData>
    <row r="8" spans="1:1" x14ac:dyDescent="0.2">
      <c r="A8" s="36" t="s">
        <v>130</v>
      </c>
    </row>
    <row r="23" spans="1:1" x14ac:dyDescent="0.2">
      <c r="A23" s="36" t="s">
        <v>131</v>
      </c>
    </row>
    <row r="48" spans="1:1" x14ac:dyDescent="0.2">
      <c r="A48" s="36" t="s">
        <v>132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U90"/>
  <sheetViews>
    <sheetView showGridLines="0" showZeros="0" view="pageLayout" zoomScale="70" zoomScaleNormal="85" zoomScalePageLayoutView="70" workbookViewId="0">
      <selection activeCell="E11" sqref="E11"/>
    </sheetView>
  </sheetViews>
  <sheetFormatPr baseColWidth="10" defaultColWidth="9.1640625" defaultRowHeight="15" x14ac:dyDescent="0.2"/>
  <cols>
    <col min="1" max="1" width="5.5" style="10" customWidth="1"/>
    <col min="2" max="2" width="11" style="10" customWidth="1"/>
    <col min="3" max="3" width="11.83203125" style="10" customWidth="1"/>
    <col min="4" max="5" width="12.1640625" style="10" customWidth="1"/>
    <col min="6" max="7" width="8.83203125" style="10" customWidth="1"/>
    <col min="8" max="8" width="9.6640625" style="10" customWidth="1"/>
    <col min="9" max="9" width="8.83203125" style="10" customWidth="1"/>
    <col min="10" max="10" width="9.5" style="10" customWidth="1"/>
    <col min="11" max="11" width="10.1640625" style="10" customWidth="1"/>
    <col min="12" max="13" width="8.83203125" style="10" customWidth="1"/>
    <col min="14" max="15" width="9.6640625" style="10" customWidth="1"/>
    <col min="16" max="16" width="7.33203125" style="10" customWidth="1"/>
    <col min="17" max="17" width="8.1640625" style="10" customWidth="1"/>
    <col min="18" max="18" width="9.6640625" style="10" customWidth="1"/>
    <col min="19" max="20" width="9.1640625" style="10"/>
    <col min="21" max="21" width="9.1640625" style="56"/>
    <col min="22" max="16384" width="9.1640625" style="10"/>
  </cols>
  <sheetData>
    <row r="1" spans="2:21" x14ac:dyDescent="0.2">
      <c r="H1" s="92"/>
    </row>
    <row r="2" spans="2:21" ht="15" customHeight="1" x14ac:dyDescent="0.2">
      <c r="B2" s="130" t="s">
        <v>0</v>
      </c>
      <c r="C2" s="130"/>
      <c r="D2" s="131" t="s">
        <v>76</v>
      </c>
      <c r="E2" s="131"/>
      <c r="F2" s="131"/>
      <c r="G2" s="131"/>
      <c r="H2" s="131"/>
      <c r="I2" s="131"/>
      <c r="J2" s="131"/>
      <c r="M2" s="11"/>
      <c r="N2" s="11"/>
      <c r="O2" s="11"/>
      <c r="R2" s="12"/>
    </row>
    <row r="3" spans="2:21" ht="15" customHeight="1" x14ac:dyDescent="0.2">
      <c r="B3" s="130" t="s">
        <v>1</v>
      </c>
      <c r="C3" s="130"/>
      <c r="D3" s="131" t="s">
        <v>207</v>
      </c>
      <c r="E3" s="131"/>
      <c r="F3" s="131"/>
      <c r="G3" s="131"/>
      <c r="H3" s="131"/>
      <c r="I3" s="131"/>
      <c r="J3" s="131"/>
      <c r="L3" s="13"/>
      <c r="R3" s="12"/>
    </row>
    <row r="4" spans="2:21" ht="15" customHeight="1" x14ac:dyDescent="0.2">
      <c r="B4" s="130" t="s">
        <v>2</v>
      </c>
      <c r="C4" s="130"/>
      <c r="D4" s="131" t="s">
        <v>208</v>
      </c>
      <c r="E4" s="131"/>
      <c r="F4" s="131"/>
      <c r="G4" s="131"/>
      <c r="H4" s="131"/>
      <c r="I4" s="131"/>
      <c r="J4" s="131"/>
      <c r="K4" s="14"/>
      <c r="L4" s="14"/>
      <c r="M4" s="14"/>
      <c r="R4" s="12"/>
      <c r="U4" s="56" t="s">
        <v>167</v>
      </c>
    </row>
    <row r="5" spans="2:21" ht="15" customHeight="1" x14ac:dyDescent="0.2">
      <c r="B5" s="97" t="s">
        <v>166</v>
      </c>
      <c r="C5" s="98"/>
      <c r="D5" s="99" t="s">
        <v>169</v>
      </c>
      <c r="E5" s="100"/>
      <c r="F5" s="100"/>
      <c r="G5" s="100"/>
      <c r="H5" s="100"/>
      <c r="I5" s="100"/>
      <c r="J5" s="101"/>
      <c r="K5" s="14"/>
      <c r="L5" s="14"/>
      <c r="M5" s="14"/>
      <c r="R5" s="12"/>
      <c r="U5" s="56" t="s">
        <v>168</v>
      </c>
    </row>
    <row r="6" spans="2:21" ht="15" customHeight="1" x14ac:dyDescent="0.2">
      <c r="B6" s="130" t="s">
        <v>56</v>
      </c>
      <c r="C6" s="130"/>
      <c r="D6" s="99" t="s">
        <v>60</v>
      </c>
      <c r="E6" s="100"/>
      <c r="F6" s="100"/>
      <c r="G6" s="100"/>
      <c r="H6" s="100"/>
      <c r="I6" s="100"/>
      <c r="J6" s="101"/>
      <c r="L6" s="11"/>
      <c r="M6" s="11"/>
      <c r="R6" s="12"/>
      <c r="U6" s="56" t="s">
        <v>169</v>
      </c>
    </row>
    <row r="7" spans="2:21" ht="15" customHeight="1" x14ac:dyDescent="0.2">
      <c r="B7" s="130" t="s">
        <v>3</v>
      </c>
      <c r="C7" s="130"/>
      <c r="D7" s="132">
        <v>45292</v>
      </c>
      <c r="E7" s="132"/>
      <c r="F7" s="132"/>
      <c r="G7" s="132"/>
      <c r="H7" s="132"/>
      <c r="I7" s="132"/>
      <c r="J7" s="132"/>
      <c r="K7" s="11"/>
      <c r="L7" s="11"/>
      <c r="R7" s="12"/>
    </row>
    <row r="8" spans="2:21" ht="15.75" customHeight="1" x14ac:dyDescent="0.2">
      <c r="B8" s="130" t="s">
        <v>196</v>
      </c>
      <c r="C8" s="130"/>
      <c r="D8" s="172">
        <v>142004</v>
      </c>
      <c r="E8" s="173"/>
      <c r="F8" s="173"/>
      <c r="G8" s="173"/>
      <c r="H8" s="173"/>
      <c r="I8" s="173"/>
      <c r="J8" s="174"/>
      <c r="K8" s="168"/>
      <c r="L8" s="168"/>
      <c r="M8" s="168"/>
      <c r="N8" s="11"/>
      <c r="O8" s="11"/>
      <c r="R8" s="12"/>
    </row>
    <row r="9" spans="2:21" ht="24" customHeight="1" x14ac:dyDescent="0.2">
      <c r="B9" s="15"/>
      <c r="C9" s="15"/>
      <c r="D9" s="16"/>
      <c r="E9" s="16"/>
      <c r="F9" s="16"/>
      <c r="G9" s="16"/>
      <c r="H9" s="16"/>
      <c r="I9" s="16"/>
      <c r="J9" s="16"/>
      <c r="K9" s="137"/>
      <c r="L9" s="137"/>
      <c r="M9" s="137"/>
      <c r="N9" s="11"/>
      <c r="O9" s="11"/>
      <c r="P9" s="17"/>
      <c r="Q9" s="12"/>
      <c r="R9" s="12"/>
    </row>
    <row r="10" spans="2:21" s="54" customFormat="1" ht="68" x14ac:dyDescent="0.25">
      <c r="B10" s="35" t="s">
        <v>4</v>
      </c>
      <c r="C10" s="51" t="s">
        <v>5</v>
      </c>
      <c r="D10" s="35" t="s">
        <v>6</v>
      </c>
      <c r="E10" s="35" t="s">
        <v>7</v>
      </c>
      <c r="F10" s="35" t="s">
        <v>13</v>
      </c>
      <c r="G10" s="35" t="s">
        <v>57</v>
      </c>
      <c r="H10" s="35" t="s">
        <v>8</v>
      </c>
      <c r="I10" s="35" t="s">
        <v>9</v>
      </c>
      <c r="J10" s="169" t="s">
        <v>10</v>
      </c>
      <c r="K10" s="170"/>
      <c r="L10" s="170"/>
      <c r="M10" s="171"/>
      <c r="N10" s="113" t="s">
        <v>15</v>
      </c>
      <c r="O10" s="113"/>
      <c r="P10" s="113"/>
      <c r="Q10" s="113"/>
      <c r="R10" s="113"/>
      <c r="S10" s="55"/>
      <c r="U10" s="88"/>
    </row>
    <row r="11" spans="2:21" s="54" customFormat="1" ht="18" customHeight="1" x14ac:dyDescent="0.25">
      <c r="B11" s="128" t="str">
        <f>CHOOSE(WEEKDAY(C11),"Sunday","Monday","Tuesday","Wednesday","Thursday","Friday","Saturday")</f>
        <v>Monday</v>
      </c>
      <c r="C11" s="175">
        <f>D7</f>
        <v>45292</v>
      </c>
      <c r="D11" s="90"/>
      <c r="E11" s="90"/>
      <c r="F11" s="118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22" t="s">
        <v>183</v>
      </c>
      <c r="H11" s="117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18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09"/>
      <c r="K11" s="110"/>
      <c r="L11" s="110"/>
      <c r="M11" s="111"/>
      <c r="N11" s="108"/>
      <c r="O11" s="108"/>
      <c r="P11" s="108"/>
      <c r="Q11" s="108"/>
      <c r="R11" s="108"/>
      <c r="S11" s="59"/>
      <c r="T11" s="112"/>
      <c r="U11" s="88"/>
    </row>
    <row r="12" spans="2:21" s="54" customFormat="1" ht="18" customHeight="1" x14ac:dyDescent="0.25">
      <c r="B12" s="129"/>
      <c r="C12" s="176"/>
      <c r="D12" s="90"/>
      <c r="E12" s="90"/>
      <c r="F12" s="119"/>
      <c r="G12" s="123"/>
      <c r="H12" s="117"/>
      <c r="I12" s="119"/>
      <c r="J12" s="109"/>
      <c r="K12" s="110"/>
      <c r="L12" s="110"/>
      <c r="M12" s="111"/>
      <c r="N12" s="108"/>
      <c r="O12" s="108"/>
      <c r="P12" s="108"/>
      <c r="Q12" s="108"/>
      <c r="R12" s="108"/>
      <c r="S12" s="60"/>
      <c r="T12" s="112"/>
      <c r="U12" s="88"/>
    </row>
    <row r="13" spans="2:21" s="54" customFormat="1" ht="18" customHeight="1" x14ac:dyDescent="0.25">
      <c r="B13" s="126" t="str">
        <f t="shared" ref="B13:B69" si="2">CHOOSE(WEEKDAY(C13),"Sunday","Monday","Tuesday","Wednesday","Thursday","Friday","Saturday")</f>
        <v>Tuesday</v>
      </c>
      <c r="C13" s="124">
        <f>C11+1</f>
        <v>45293</v>
      </c>
      <c r="D13" s="34"/>
      <c r="E13" s="34"/>
      <c r="F13" s="120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15" t="s">
        <v>183</v>
      </c>
      <c r="H13" s="114">
        <f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0">
        <f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02"/>
      <c r="K13" s="103"/>
      <c r="L13" s="103"/>
      <c r="M13" s="104"/>
      <c r="N13" s="106"/>
      <c r="O13" s="106"/>
      <c r="P13" s="106"/>
      <c r="Q13" s="106"/>
      <c r="R13" s="106"/>
      <c r="U13" s="88"/>
    </row>
    <row r="14" spans="2:21" s="54" customFormat="1" ht="18" customHeight="1" x14ac:dyDescent="0.25">
      <c r="B14" s="127"/>
      <c r="C14" s="124"/>
      <c r="D14" s="34"/>
      <c r="E14" s="34"/>
      <c r="F14" s="121"/>
      <c r="G14" s="116"/>
      <c r="H14" s="114"/>
      <c r="I14" s="121"/>
      <c r="J14" s="102"/>
      <c r="K14" s="103"/>
      <c r="L14" s="103"/>
      <c r="M14" s="104"/>
      <c r="N14" s="106"/>
      <c r="O14" s="106"/>
      <c r="P14" s="106"/>
      <c r="Q14" s="106"/>
      <c r="R14" s="106"/>
      <c r="U14" s="88"/>
    </row>
    <row r="15" spans="2:21" s="54" customFormat="1" ht="18" customHeight="1" x14ac:dyDescent="0.25">
      <c r="B15" s="126" t="str">
        <f t="shared" si="2"/>
        <v>Wednesday</v>
      </c>
      <c r="C15" s="124">
        <f t="shared" ref="C15" si="3">C13+1</f>
        <v>45294</v>
      </c>
      <c r="D15" s="34"/>
      <c r="E15" s="34"/>
      <c r="F15" s="120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15" t="s">
        <v>183</v>
      </c>
      <c r="H15" s="114">
        <f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0">
        <f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02"/>
      <c r="K15" s="103"/>
      <c r="L15" s="103"/>
      <c r="M15" s="104"/>
      <c r="N15" s="105"/>
      <c r="O15" s="106"/>
      <c r="P15" s="106"/>
      <c r="Q15" s="106"/>
      <c r="R15" s="106"/>
      <c r="S15" s="55"/>
      <c r="U15" s="88"/>
    </row>
    <row r="16" spans="2:21" s="54" customFormat="1" ht="18" customHeight="1" x14ac:dyDescent="0.25">
      <c r="B16" s="127"/>
      <c r="C16" s="124"/>
      <c r="D16" s="34"/>
      <c r="E16" s="34"/>
      <c r="F16" s="121"/>
      <c r="G16" s="116"/>
      <c r="H16" s="114"/>
      <c r="I16" s="121"/>
      <c r="J16" s="102"/>
      <c r="K16" s="103"/>
      <c r="L16" s="103"/>
      <c r="M16" s="104"/>
      <c r="N16" s="106"/>
      <c r="O16" s="106"/>
      <c r="P16" s="106"/>
      <c r="Q16" s="106"/>
      <c r="R16" s="106"/>
      <c r="S16" s="55"/>
      <c r="U16" s="88"/>
    </row>
    <row r="17" spans="2:21" s="54" customFormat="1" ht="18" customHeight="1" x14ac:dyDescent="0.25">
      <c r="B17" s="126" t="str">
        <f t="shared" si="2"/>
        <v>Thursday</v>
      </c>
      <c r="C17" s="124">
        <f t="shared" ref="C17" si="4">C15+1</f>
        <v>45295</v>
      </c>
      <c r="D17" s="34"/>
      <c r="E17" s="34"/>
      <c r="F17" s="120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15" t="s">
        <v>183</v>
      </c>
      <c r="H17" s="114">
        <f t="shared" ref="H17" si="5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0">
        <f t="shared" ref="I17" si="6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02"/>
      <c r="K17" s="103"/>
      <c r="L17" s="103"/>
      <c r="M17" s="104"/>
      <c r="N17" s="105"/>
      <c r="O17" s="106"/>
      <c r="P17" s="106"/>
      <c r="Q17" s="106"/>
      <c r="R17" s="106"/>
      <c r="S17" s="55"/>
      <c r="T17" s="55"/>
      <c r="U17" s="89"/>
    </row>
    <row r="18" spans="2:21" s="54" customFormat="1" ht="18" customHeight="1" x14ac:dyDescent="0.25">
      <c r="B18" s="127"/>
      <c r="C18" s="124"/>
      <c r="D18" s="34"/>
      <c r="E18" s="34"/>
      <c r="F18" s="121"/>
      <c r="G18" s="116"/>
      <c r="H18" s="114"/>
      <c r="I18" s="121"/>
      <c r="J18" s="102"/>
      <c r="K18" s="103"/>
      <c r="L18" s="103"/>
      <c r="M18" s="104"/>
      <c r="N18" s="105"/>
      <c r="O18" s="106"/>
      <c r="P18" s="106"/>
      <c r="Q18" s="106"/>
      <c r="R18" s="106"/>
      <c r="S18" s="55"/>
      <c r="T18" s="55"/>
      <c r="U18" s="89"/>
    </row>
    <row r="19" spans="2:21" s="54" customFormat="1" ht="18" customHeight="1" x14ac:dyDescent="0.25">
      <c r="B19" s="126" t="str">
        <f t="shared" si="2"/>
        <v>Friday</v>
      </c>
      <c r="C19" s="124">
        <f t="shared" ref="C19" si="7">C17+1</f>
        <v>45296</v>
      </c>
      <c r="D19" s="34"/>
      <c r="E19" s="34"/>
      <c r="F19" s="120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15" t="s">
        <v>183</v>
      </c>
      <c r="H19" s="114">
        <f t="shared" ref="H19" si="8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20">
        <f t="shared" ref="I19" si="9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02"/>
      <c r="K19" s="103"/>
      <c r="L19" s="103"/>
      <c r="M19" s="104"/>
      <c r="N19" s="105"/>
      <c r="O19" s="106"/>
      <c r="P19" s="106"/>
      <c r="Q19" s="106"/>
      <c r="R19" s="106"/>
      <c r="S19" s="59"/>
      <c r="U19" s="89"/>
    </row>
    <row r="20" spans="2:21" s="54" customFormat="1" ht="18" customHeight="1" x14ac:dyDescent="0.25">
      <c r="B20" s="127"/>
      <c r="C20" s="124"/>
      <c r="D20" s="34"/>
      <c r="E20" s="34"/>
      <c r="F20" s="121"/>
      <c r="G20" s="116"/>
      <c r="H20" s="114"/>
      <c r="I20" s="121"/>
      <c r="J20" s="102"/>
      <c r="K20" s="103"/>
      <c r="L20" s="103"/>
      <c r="M20" s="104"/>
      <c r="N20" s="105"/>
      <c r="O20" s="106"/>
      <c r="P20" s="106"/>
      <c r="Q20" s="106"/>
      <c r="R20" s="106"/>
      <c r="S20" s="59"/>
      <c r="U20" s="88"/>
    </row>
    <row r="21" spans="2:21" s="54" customFormat="1" ht="18" customHeight="1" x14ac:dyDescent="0.25">
      <c r="B21" s="128" t="str">
        <f t="shared" si="2"/>
        <v>Saturday</v>
      </c>
      <c r="C21" s="125">
        <f t="shared" ref="C21" si="10">C19+1</f>
        <v>45297</v>
      </c>
      <c r="D21" s="90"/>
      <c r="E21" s="90"/>
      <c r="F21" s="118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22" t="s">
        <v>183</v>
      </c>
      <c r="H21" s="117">
        <f t="shared" ref="H21" si="11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18">
        <f t="shared" ref="I21" si="12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09"/>
      <c r="K21" s="110"/>
      <c r="L21" s="110"/>
      <c r="M21" s="111"/>
      <c r="N21" s="107"/>
      <c r="O21" s="108"/>
      <c r="P21" s="108"/>
      <c r="Q21" s="108"/>
      <c r="R21" s="108"/>
      <c r="U21" s="88"/>
    </row>
    <row r="22" spans="2:21" s="54" customFormat="1" ht="18" customHeight="1" x14ac:dyDescent="0.25">
      <c r="B22" s="129"/>
      <c r="C22" s="125"/>
      <c r="D22" s="90"/>
      <c r="E22" s="90"/>
      <c r="F22" s="119"/>
      <c r="G22" s="123"/>
      <c r="H22" s="117"/>
      <c r="I22" s="119"/>
      <c r="J22" s="109"/>
      <c r="K22" s="110"/>
      <c r="L22" s="110"/>
      <c r="M22" s="111"/>
      <c r="N22" s="108"/>
      <c r="O22" s="108"/>
      <c r="P22" s="108"/>
      <c r="Q22" s="108"/>
      <c r="R22" s="108"/>
      <c r="U22" s="88"/>
    </row>
    <row r="23" spans="2:21" s="54" customFormat="1" ht="18" customHeight="1" x14ac:dyDescent="0.25">
      <c r="B23" s="128" t="str">
        <f t="shared" si="2"/>
        <v>Sunday</v>
      </c>
      <c r="C23" s="125">
        <f t="shared" ref="C23" si="13">C21+1</f>
        <v>45298</v>
      </c>
      <c r="D23" s="90"/>
      <c r="E23" s="90"/>
      <c r="F23" s="118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22" t="s">
        <v>183</v>
      </c>
      <c r="H23" s="117">
        <f t="shared" ref="H23" si="14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18">
        <f t="shared" ref="I23" si="15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09"/>
      <c r="K23" s="110"/>
      <c r="L23" s="110"/>
      <c r="M23" s="111"/>
      <c r="N23" s="107"/>
      <c r="O23" s="108"/>
      <c r="P23" s="108"/>
      <c r="Q23" s="108"/>
      <c r="R23" s="108"/>
      <c r="U23" s="88"/>
    </row>
    <row r="24" spans="2:21" s="54" customFormat="1" ht="18" customHeight="1" x14ac:dyDescent="0.25">
      <c r="B24" s="129"/>
      <c r="C24" s="125"/>
      <c r="D24" s="90"/>
      <c r="E24" s="90"/>
      <c r="F24" s="119"/>
      <c r="G24" s="123"/>
      <c r="H24" s="117"/>
      <c r="I24" s="119"/>
      <c r="J24" s="109"/>
      <c r="K24" s="110"/>
      <c r="L24" s="110"/>
      <c r="M24" s="111"/>
      <c r="N24" s="108"/>
      <c r="O24" s="108"/>
      <c r="P24" s="108"/>
      <c r="Q24" s="108"/>
      <c r="R24" s="108"/>
      <c r="U24" s="88"/>
    </row>
    <row r="25" spans="2:21" s="54" customFormat="1" ht="18" customHeight="1" x14ac:dyDescent="0.25">
      <c r="B25" s="126" t="str">
        <f t="shared" si="2"/>
        <v>Monday</v>
      </c>
      <c r="C25" s="124">
        <f t="shared" ref="C25" si="16">C23+1</f>
        <v>45299</v>
      </c>
      <c r="D25" s="34"/>
      <c r="E25" s="34"/>
      <c r="F25" s="120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15" t="s">
        <v>183</v>
      </c>
      <c r="H25" s="114">
        <f t="shared" ref="H25" si="17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0">
        <f t="shared" ref="I25" si="18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02"/>
      <c r="K25" s="103"/>
      <c r="L25" s="103"/>
      <c r="M25" s="104"/>
      <c r="N25" s="106"/>
      <c r="O25" s="106"/>
      <c r="P25" s="106"/>
      <c r="Q25" s="106"/>
      <c r="R25" s="106"/>
      <c r="U25" s="88"/>
    </row>
    <row r="26" spans="2:21" s="54" customFormat="1" ht="18" customHeight="1" x14ac:dyDescent="0.25">
      <c r="B26" s="127"/>
      <c r="C26" s="124"/>
      <c r="D26" s="34"/>
      <c r="E26" s="34"/>
      <c r="F26" s="121"/>
      <c r="G26" s="116"/>
      <c r="H26" s="114"/>
      <c r="I26" s="121"/>
      <c r="J26" s="102"/>
      <c r="K26" s="103"/>
      <c r="L26" s="103"/>
      <c r="M26" s="104"/>
      <c r="N26" s="106"/>
      <c r="O26" s="106"/>
      <c r="P26" s="106"/>
      <c r="Q26" s="106"/>
      <c r="R26" s="106"/>
      <c r="U26" s="88"/>
    </row>
    <row r="27" spans="2:21" s="54" customFormat="1" ht="18" customHeight="1" x14ac:dyDescent="0.25">
      <c r="B27" s="126" t="str">
        <f t="shared" si="2"/>
        <v>Tuesday</v>
      </c>
      <c r="C27" s="124">
        <f t="shared" ref="C27" si="19">C25+1</f>
        <v>45300</v>
      </c>
      <c r="D27" s="34"/>
      <c r="E27" s="34"/>
      <c r="F27" s="120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15" t="s">
        <v>183</v>
      </c>
      <c r="H27" s="114">
        <f t="shared" ref="H27" si="20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0">
        <f t="shared" ref="I27" si="21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02"/>
      <c r="K27" s="103"/>
      <c r="L27" s="103"/>
      <c r="M27" s="104"/>
      <c r="N27" s="106"/>
      <c r="O27" s="106"/>
      <c r="P27" s="106"/>
      <c r="Q27" s="106"/>
      <c r="R27" s="106"/>
      <c r="U27" s="88"/>
    </row>
    <row r="28" spans="2:21" s="54" customFormat="1" ht="18" customHeight="1" x14ac:dyDescent="0.25">
      <c r="B28" s="127"/>
      <c r="C28" s="124"/>
      <c r="D28" s="34"/>
      <c r="E28" s="34"/>
      <c r="F28" s="121"/>
      <c r="G28" s="116"/>
      <c r="H28" s="114"/>
      <c r="I28" s="121"/>
      <c r="J28" s="102"/>
      <c r="K28" s="103"/>
      <c r="L28" s="103"/>
      <c r="M28" s="104"/>
      <c r="N28" s="106"/>
      <c r="O28" s="106"/>
      <c r="P28" s="106"/>
      <c r="Q28" s="106"/>
      <c r="R28" s="106"/>
      <c r="U28" s="88"/>
    </row>
    <row r="29" spans="2:21" s="54" customFormat="1" ht="18" customHeight="1" x14ac:dyDescent="0.25">
      <c r="B29" s="126" t="str">
        <f t="shared" si="2"/>
        <v>Wednesday</v>
      </c>
      <c r="C29" s="124">
        <f t="shared" ref="C29" si="22">C27+1</f>
        <v>45301</v>
      </c>
      <c r="D29" s="34"/>
      <c r="E29" s="34"/>
      <c r="F29" s="120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15" t="s">
        <v>183</v>
      </c>
      <c r="H29" s="114">
        <f t="shared" ref="H29" si="23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0">
        <f t="shared" ref="I29" si="24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02"/>
      <c r="K29" s="103"/>
      <c r="L29" s="103"/>
      <c r="M29" s="104"/>
      <c r="N29" s="105"/>
      <c r="O29" s="106"/>
      <c r="P29" s="106"/>
      <c r="Q29" s="106"/>
      <c r="R29" s="106"/>
      <c r="U29" s="88"/>
    </row>
    <row r="30" spans="2:21" s="54" customFormat="1" ht="18" customHeight="1" x14ac:dyDescent="0.25">
      <c r="B30" s="127"/>
      <c r="C30" s="124"/>
      <c r="D30" s="34"/>
      <c r="E30" s="34"/>
      <c r="F30" s="121"/>
      <c r="G30" s="116"/>
      <c r="H30" s="114"/>
      <c r="I30" s="121"/>
      <c r="J30" s="102"/>
      <c r="K30" s="103"/>
      <c r="L30" s="103"/>
      <c r="M30" s="104"/>
      <c r="N30" s="106"/>
      <c r="O30" s="106"/>
      <c r="P30" s="106"/>
      <c r="Q30" s="106"/>
      <c r="R30" s="106"/>
      <c r="U30" s="88"/>
    </row>
    <row r="31" spans="2:21" s="54" customFormat="1" ht="18" customHeight="1" x14ac:dyDescent="0.25">
      <c r="B31" s="126" t="str">
        <f t="shared" si="2"/>
        <v>Thursday</v>
      </c>
      <c r="C31" s="124">
        <f t="shared" ref="C31" si="25">C29+1</f>
        <v>45302</v>
      </c>
      <c r="D31" s="34"/>
      <c r="E31" s="34"/>
      <c r="F31" s="120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15" t="s">
        <v>183</v>
      </c>
      <c r="H31" s="114">
        <f t="shared" ref="H31" si="26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20">
        <f t="shared" ref="I31" si="27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02"/>
      <c r="K31" s="103"/>
      <c r="L31" s="103"/>
      <c r="M31" s="104"/>
      <c r="N31" s="105"/>
      <c r="O31" s="106"/>
      <c r="P31" s="106"/>
      <c r="Q31" s="106"/>
      <c r="R31" s="106"/>
      <c r="U31" s="88"/>
    </row>
    <row r="32" spans="2:21" s="54" customFormat="1" ht="18" customHeight="1" x14ac:dyDescent="0.25">
      <c r="B32" s="127"/>
      <c r="C32" s="124"/>
      <c r="D32" s="34"/>
      <c r="E32" s="34"/>
      <c r="F32" s="121"/>
      <c r="G32" s="116"/>
      <c r="H32" s="114"/>
      <c r="I32" s="121"/>
      <c r="J32" s="102"/>
      <c r="K32" s="103"/>
      <c r="L32" s="103"/>
      <c r="M32" s="104"/>
      <c r="N32" s="105"/>
      <c r="O32" s="106"/>
      <c r="P32" s="106"/>
      <c r="Q32" s="106"/>
      <c r="R32" s="106"/>
      <c r="U32" s="88"/>
    </row>
    <row r="33" spans="2:21" s="54" customFormat="1" ht="18" customHeight="1" x14ac:dyDescent="0.25">
      <c r="B33" s="126" t="str">
        <f t="shared" si="2"/>
        <v>Friday</v>
      </c>
      <c r="C33" s="124">
        <f t="shared" ref="C33" si="28">C31+1</f>
        <v>45303</v>
      </c>
      <c r="D33" s="34"/>
      <c r="E33" s="34"/>
      <c r="F33" s="120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15" t="s">
        <v>183</v>
      </c>
      <c r="H33" s="114">
        <f t="shared" ref="H33" si="29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20">
        <f t="shared" ref="I33" si="30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02"/>
      <c r="K33" s="103"/>
      <c r="L33" s="103"/>
      <c r="M33" s="104"/>
      <c r="N33" s="105"/>
      <c r="O33" s="106"/>
      <c r="P33" s="106"/>
      <c r="Q33" s="106"/>
      <c r="R33" s="106"/>
      <c r="U33" s="88"/>
    </row>
    <row r="34" spans="2:21" s="54" customFormat="1" ht="18" customHeight="1" x14ac:dyDescent="0.25">
      <c r="B34" s="127"/>
      <c r="C34" s="124"/>
      <c r="D34" s="34"/>
      <c r="E34" s="34"/>
      <c r="F34" s="121"/>
      <c r="G34" s="116"/>
      <c r="H34" s="114"/>
      <c r="I34" s="121"/>
      <c r="J34" s="102"/>
      <c r="K34" s="103"/>
      <c r="L34" s="103"/>
      <c r="M34" s="104"/>
      <c r="N34" s="105"/>
      <c r="O34" s="106"/>
      <c r="P34" s="106"/>
      <c r="Q34" s="106"/>
      <c r="R34" s="106"/>
      <c r="U34" s="88"/>
    </row>
    <row r="35" spans="2:21" s="54" customFormat="1" ht="18" customHeight="1" x14ac:dyDescent="0.25">
      <c r="B35" s="128" t="str">
        <f t="shared" si="2"/>
        <v>Saturday</v>
      </c>
      <c r="C35" s="125">
        <f t="shared" ref="C35" si="31">C33+1</f>
        <v>45304</v>
      </c>
      <c r="D35" s="90">
        <v>0.33333333333333331</v>
      </c>
      <c r="E35" s="90">
        <v>0.6875</v>
      </c>
      <c r="F35" s="118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9</v>
      </c>
      <c r="G35" s="122" t="s">
        <v>183</v>
      </c>
      <c r="H35" s="117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18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09" t="s">
        <v>37</v>
      </c>
      <c r="K35" s="110"/>
      <c r="L35" s="110"/>
      <c r="M35" s="111"/>
      <c r="N35" s="107" t="s">
        <v>209</v>
      </c>
      <c r="O35" s="108"/>
      <c r="P35" s="108"/>
      <c r="Q35" s="108"/>
      <c r="R35" s="108"/>
      <c r="S35" s="55"/>
      <c r="T35" s="55"/>
      <c r="U35" s="88"/>
    </row>
    <row r="36" spans="2:21" s="54" customFormat="1" ht="18" customHeight="1" x14ac:dyDescent="0.25">
      <c r="B36" s="129"/>
      <c r="C36" s="125"/>
      <c r="D36" s="90"/>
      <c r="E36" s="90"/>
      <c r="F36" s="119"/>
      <c r="G36" s="123"/>
      <c r="H36" s="117"/>
      <c r="I36" s="119"/>
      <c r="J36" s="109"/>
      <c r="K36" s="110"/>
      <c r="L36" s="110"/>
      <c r="M36" s="111"/>
      <c r="N36" s="108"/>
      <c r="O36" s="108"/>
      <c r="P36" s="108"/>
      <c r="Q36" s="108"/>
      <c r="R36" s="108"/>
      <c r="S36" s="55"/>
      <c r="T36" s="55"/>
      <c r="U36" s="88"/>
    </row>
    <row r="37" spans="2:21" s="54" customFormat="1" ht="18" customHeight="1" x14ac:dyDescent="0.25">
      <c r="B37" s="128" t="str">
        <f t="shared" si="2"/>
        <v>Sunday</v>
      </c>
      <c r="C37" s="125">
        <f t="shared" ref="C37" si="32">C35+1</f>
        <v>45305</v>
      </c>
      <c r="D37" s="90">
        <v>0.33333333333333331</v>
      </c>
      <c r="E37" s="90">
        <v>0.6875</v>
      </c>
      <c r="F37" s="118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9</v>
      </c>
      <c r="G37" s="122" t="s">
        <v>183</v>
      </c>
      <c r="H37" s="117">
        <f t="shared" ref="H37" si="33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18">
        <f t="shared" ref="I37" si="34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09" t="s">
        <v>37</v>
      </c>
      <c r="K37" s="110"/>
      <c r="L37" s="110"/>
      <c r="M37" s="111"/>
      <c r="N37" s="108" t="s">
        <v>209</v>
      </c>
      <c r="O37" s="108"/>
      <c r="P37" s="108"/>
      <c r="Q37" s="108"/>
      <c r="R37" s="108"/>
      <c r="S37" s="55"/>
      <c r="T37" s="55"/>
      <c r="U37" s="88"/>
    </row>
    <row r="38" spans="2:21" s="54" customFormat="1" ht="18" customHeight="1" x14ac:dyDescent="0.25">
      <c r="B38" s="129"/>
      <c r="C38" s="125"/>
      <c r="D38" s="90"/>
      <c r="E38" s="90"/>
      <c r="F38" s="119"/>
      <c r="G38" s="123"/>
      <c r="H38" s="117"/>
      <c r="I38" s="119"/>
      <c r="J38" s="109"/>
      <c r="K38" s="110"/>
      <c r="L38" s="110"/>
      <c r="M38" s="111"/>
      <c r="N38" s="108"/>
      <c r="O38" s="108"/>
      <c r="P38" s="108"/>
      <c r="Q38" s="108"/>
      <c r="R38" s="108"/>
      <c r="S38" s="55"/>
      <c r="T38" s="55"/>
      <c r="U38" s="88"/>
    </row>
    <row r="39" spans="2:21" s="54" customFormat="1" ht="18" customHeight="1" x14ac:dyDescent="0.25">
      <c r="B39" s="126" t="str">
        <f t="shared" si="2"/>
        <v>Monday</v>
      </c>
      <c r="C39" s="124">
        <f t="shared" ref="C39" si="35">C37+1</f>
        <v>45306</v>
      </c>
      <c r="D39" s="34"/>
      <c r="E39" s="34"/>
      <c r="F39" s="120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15" t="s">
        <v>183</v>
      </c>
      <c r="H39" s="114">
        <f t="shared" ref="H39" si="36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0">
        <f t="shared" ref="I39" si="37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02"/>
      <c r="K39" s="103"/>
      <c r="L39" s="103"/>
      <c r="M39" s="104"/>
      <c r="N39" s="106"/>
      <c r="O39" s="106"/>
      <c r="P39" s="106"/>
      <c r="Q39" s="106"/>
      <c r="R39" s="106"/>
      <c r="U39" s="88"/>
    </row>
    <row r="40" spans="2:21" s="54" customFormat="1" ht="18" customHeight="1" x14ac:dyDescent="0.25">
      <c r="B40" s="127"/>
      <c r="C40" s="124"/>
      <c r="D40" s="34"/>
      <c r="E40" s="34"/>
      <c r="F40" s="121"/>
      <c r="G40" s="116"/>
      <c r="H40" s="114"/>
      <c r="I40" s="121"/>
      <c r="J40" s="102"/>
      <c r="K40" s="103"/>
      <c r="L40" s="103"/>
      <c r="M40" s="104"/>
      <c r="N40" s="106"/>
      <c r="O40" s="106"/>
      <c r="P40" s="106"/>
      <c r="Q40" s="106"/>
      <c r="R40" s="106"/>
      <c r="U40" s="88"/>
    </row>
    <row r="41" spans="2:21" s="54" customFormat="1" ht="18" customHeight="1" x14ac:dyDescent="0.25">
      <c r="B41" s="126" t="str">
        <f t="shared" si="2"/>
        <v>Tuesday</v>
      </c>
      <c r="C41" s="124">
        <f t="shared" ref="C41" si="38">C39+1</f>
        <v>45307</v>
      </c>
      <c r="D41" s="34"/>
      <c r="E41" s="34"/>
      <c r="F41" s="120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15" t="s">
        <v>183</v>
      </c>
      <c r="H41" s="114">
        <f t="shared" ref="H41" si="39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0">
        <f t="shared" ref="I41" si="40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02"/>
      <c r="K41" s="103"/>
      <c r="L41" s="103"/>
      <c r="M41" s="104"/>
      <c r="N41" s="106"/>
      <c r="O41" s="106"/>
      <c r="P41" s="106"/>
      <c r="Q41" s="106"/>
      <c r="R41" s="106"/>
      <c r="U41" s="88"/>
    </row>
    <row r="42" spans="2:21" s="54" customFormat="1" ht="18" customHeight="1" x14ac:dyDescent="0.25">
      <c r="B42" s="127"/>
      <c r="C42" s="124"/>
      <c r="D42" s="34"/>
      <c r="E42" s="34"/>
      <c r="F42" s="121"/>
      <c r="G42" s="116"/>
      <c r="H42" s="114"/>
      <c r="I42" s="121"/>
      <c r="J42" s="102"/>
      <c r="K42" s="103"/>
      <c r="L42" s="103"/>
      <c r="M42" s="104"/>
      <c r="N42" s="106"/>
      <c r="O42" s="106"/>
      <c r="P42" s="106"/>
      <c r="Q42" s="106"/>
      <c r="R42" s="106"/>
      <c r="U42" s="88"/>
    </row>
    <row r="43" spans="2:21" s="54" customFormat="1" ht="18" customHeight="1" x14ac:dyDescent="0.25">
      <c r="B43" s="126" t="str">
        <f t="shared" si="2"/>
        <v>Wednesday</v>
      </c>
      <c r="C43" s="124">
        <f t="shared" ref="C43" si="41">C41+1</f>
        <v>45308</v>
      </c>
      <c r="D43" s="34"/>
      <c r="E43" s="34"/>
      <c r="F43" s="120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15" t="s">
        <v>183</v>
      </c>
      <c r="H43" s="114">
        <f t="shared" ref="H43" si="42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0">
        <f t="shared" ref="I43" si="43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02"/>
      <c r="K43" s="103"/>
      <c r="L43" s="103"/>
      <c r="M43" s="104"/>
      <c r="N43" s="105"/>
      <c r="O43" s="106"/>
      <c r="P43" s="106"/>
      <c r="Q43" s="106"/>
      <c r="R43" s="106"/>
      <c r="U43" s="88"/>
    </row>
    <row r="44" spans="2:21" s="54" customFormat="1" ht="18" customHeight="1" x14ac:dyDescent="0.25">
      <c r="B44" s="127"/>
      <c r="C44" s="124"/>
      <c r="D44" s="34"/>
      <c r="E44" s="34"/>
      <c r="F44" s="121"/>
      <c r="G44" s="116"/>
      <c r="H44" s="114"/>
      <c r="I44" s="121"/>
      <c r="J44" s="102"/>
      <c r="K44" s="103"/>
      <c r="L44" s="103"/>
      <c r="M44" s="104"/>
      <c r="N44" s="106"/>
      <c r="O44" s="106"/>
      <c r="P44" s="106"/>
      <c r="Q44" s="106"/>
      <c r="R44" s="106"/>
      <c r="U44" s="88"/>
    </row>
    <row r="45" spans="2:21" s="54" customFormat="1" ht="18" customHeight="1" x14ac:dyDescent="0.25">
      <c r="B45" s="126" t="str">
        <f t="shared" si="2"/>
        <v>Thursday</v>
      </c>
      <c r="C45" s="124">
        <f t="shared" ref="C45" si="44">C43+1</f>
        <v>45309</v>
      </c>
      <c r="D45" s="34"/>
      <c r="E45" s="34"/>
      <c r="F45" s="120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15" t="s">
        <v>183</v>
      </c>
      <c r="H45" s="114">
        <f t="shared" ref="H45" si="45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0">
        <f t="shared" ref="I45" si="46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02"/>
      <c r="K45" s="103"/>
      <c r="L45" s="103"/>
      <c r="M45" s="104"/>
      <c r="N45" s="105"/>
      <c r="O45" s="106"/>
      <c r="P45" s="106"/>
      <c r="Q45" s="106"/>
      <c r="R45" s="106"/>
      <c r="U45" s="88"/>
    </row>
    <row r="46" spans="2:21" s="54" customFormat="1" ht="18" customHeight="1" x14ac:dyDescent="0.25">
      <c r="B46" s="127"/>
      <c r="C46" s="124"/>
      <c r="D46" s="34"/>
      <c r="E46" s="34"/>
      <c r="F46" s="121"/>
      <c r="G46" s="116"/>
      <c r="H46" s="114"/>
      <c r="I46" s="121"/>
      <c r="J46" s="102"/>
      <c r="K46" s="103"/>
      <c r="L46" s="103"/>
      <c r="M46" s="104"/>
      <c r="N46" s="105"/>
      <c r="O46" s="106"/>
      <c r="P46" s="106"/>
      <c r="Q46" s="106"/>
      <c r="R46" s="106"/>
      <c r="U46" s="88"/>
    </row>
    <row r="47" spans="2:21" s="54" customFormat="1" ht="18" customHeight="1" x14ac:dyDescent="0.25">
      <c r="B47" s="126" t="str">
        <f t="shared" si="2"/>
        <v>Friday</v>
      </c>
      <c r="C47" s="124">
        <f t="shared" ref="C47" si="47">C45+1</f>
        <v>45310</v>
      </c>
      <c r="D47" s="34"/>
      <c r="E47" s="34"/>
      <c r="F47" s="120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15" t="s">
        <v>183</v>
      </c>
      <c r="H47" s="114">
        <f t="shared" ref="H47" si="48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20">
        <f t="shared" ref="I47" si="49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02"/>
      <c r="K47" s="103"/>
      <c r="L47" s="103"/>
      <c r="M47" s="104"/>
      <c r="N47" s="105"/>
      <c r="O47" s="106"/>
      <c r="P47" s="106"/>
      <c r="Q47" s="106"/>
      <c r="R47" s="106"/>
      <c r="U47" s="88"/>
    </row>
    <row r="48" spans="2:21" s="54" customFormat="1" ht="18" customHeight="1" x14ac:dyDescent="0.25">
      <c r="B48" s="127"/>
      <c r="C48" s="124"/>
      <c r="D48" s="34"/>
      <c r="E48" s="34"/>
      <c r="F48" s="121"/>
      <c r="G48" s="116"/>
      <c r="H48" s="114"/>
      <c r="I48" s="121"/>
      <c r="J48" s="102"/>
      <c r="K48" s="103"/>
      <c r="L48" s="103"/>
      <c r="M48" s="104"/>
      <c r="N48" s="105"/>
      <c r="O48" s="106"/>
      <c r="P48" s="106"/>
      <c r="Q48" s="106"/>
      <c r="R48" s="106"/>
      <c r="U48" s="88"/>
    </row>
    <row r="49" spans="2:21" s="54" customFormat="1" ht="18" customHeight="1" x14ac:dyDescent="0.25">
      <c r="B49" s="128" t="str">
        <f t="shared" si="2"/>
        <v>Saturday</v>
      </c>
      <c r="C49" s="125">
        <f t="shared" ref="C49" si="50">C47+1</f>
        <v>45311</v>
      </c>
      <c r="D49" s="90"/>
      <c r="E49" s="90"/>
      <c r="F49" s="118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22" t="s">
        <v>183</v>
      </c>
      <c r="H49" s="117">
        <f t="shared" ref="H49" si="51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18">
        <f t="shared" ref="I49" si="52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09"/>
      <c r="K49" s="110"/>
      <c r="L49" s="110"/>
      <c r="M49" s="111"/>
      <c r="N49" s="107"/>
      <c r="O49" s="108"/>
      <c r="P49" s="108"/>
      <c r="Q49" s="108"/>
      <c r="R49" s="108"/>
      <c r="U49" s="88"/>
    </row>
    <row r="50" spans="2:21" s="54" customFormat="1" ht="18" customHeight="1" x14ac:dyDescent="0.25">
      <c r="B50" s="129"/>
      <c r="C50" s="125"/>
      <c r="D50" s="90"/>
      <c r="E50" s="90"/>
      <c r="F50" s="119"/>
      <c r="G50" s="123"/>
      <c r="H50" s="117"/>
      <c r="I50" s="119"/>
      <c r="J50" s="109"/>
      <c r="K50" s="110"/>
      <c r="L50" s="110"/>
      <c r="M50" s="111"/>
      <c r="N50" s="108"/>
      <c r="O50" s="108"/>
      <c r="P50" s="108"/>
      <c r="Q50" s="108"/>
      <c r="R50" s="108"/>
      <c r="U50" s="88"/>
    </row>
    <row r="51" spans="2:21" s="54" customFormat="1" ht="18" customHeight="1" x14ac:dyDescent="0.25">
      <c r="B51" s="128" t="str">
        <f t="shared" si="2"/>
        <v>Sunday</v>
      </c>
      <c r="C51" s="125">
        <f t="shared" ref="C51" si="53">C49+1</f>
        <v>45312</v>
      </c>
      <c r="D51" s="90"/>
      <c r="E51" s="90"/>
      <c r="F51" s="118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22" t="s">
        <v>183</v>
      </c>
      <c r="H51" s="117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18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09"/>
      <c r="K51" s="110"/>
      <c r="L51" s="110"/>
      <c r="M51" s="111"/>
      <c r="N51" s="108"/>
      <c r="O51" s="108"/>
      <c r="P51" s="108"/>
      <c r="Q51" s="108"/>
      <c r="R51" s="108"/>
      <c r="U51" s="88"/>
    </row>
    <row r="52" spans="2:21" s="54" customFormat="1" ht="18" customHeight="1" x14ac:dyDescent="0.25">
      <c r="B52" s="129"/>
      <c r="C52" s="125"/>
      <c r="D52" s="90"/>
      <c r="E52" s="90"/>
      <c r="F52" s="119"/>
      <c r="G52" s="123"/>
      <c r="H52" s="117"/>
      <c r="I52" s="119"/>
      <c r="J52" s="109"/>
      <c r="K52" s="110"/>
      <c r="L52" s="110"/>
      <c r="M52" s="111"/>
      <c r="N52" s="108"/>
      <c r="O52" s="108"/>
      <c r="P52" s="108"/>
      <c r="Q52" s="108"/>
      <c r="R52" s="108"/>
      <c r="U52" s="88"/>
    </row>
    <row r="53" spans="2:21" s="54" customFormat="1" ht="18" customHeight="1" x14ac:dyDescent="0.25">
      <c r="B53" s="126" t="str">
        <f t="shared" si="2"/>
        <v>Monday</v>
      </c>
      <c r="C53" s="124">
        <f t="shared" ref="C53" si="54">C51+1</f>
        <v>45313</v>
      </c>
      <c r="D53" s="34"/>
      <c r="E53" s="34"/>
      <c r="F53" s="120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15" t="s">
        <v>183</v>
      </c>
      <c r="H53" s="114">
        <f t="shared" ref="H53" si="55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0">
        <f t="shared" ref="I53" si="56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02"/>
      <c r="K53" s="103"/>
      <c r="L53" s="103"/>
      <c r="M53" s="104"/>
      <c r="N53" s="106"/>
      <c r="O53" s="106"/>
      <c r="P53" s="106"/>
      <c r="Q53" s="106"/>
      <c r="R53" s="106"/>
      <c r="U53" s="88"/>
    </row>
    <row r="54" spans="2:21" s="54" customFormat="1" ht="18" customHeight="1" x14ac:dyDescent="0.25">
      <c r="B54" s="127"/>
      <c r="C54" s="124"/>
      <c r="D54" s="34"/>
      <c r="E54" s="34"/>
      <c r="F54" s="121"/>
      <c r="G54" s="116"/>
      <c r="H54" s="114"/>
      <c r="I54" s="121"/>
      <c r="J54" s="102"/>
      <c r="K54" s="103"/>
      <c r="L54" s="103"/>
      <c r="M54" s="104"/>
      <c r="N54" s="106"/>
      <c r="O54" s="106"/>
      <c r="P54" s="106"/>
      <c r="Q54" s="106"/>
      <c r="R54" s="106"/>
      <c r="U54" s="88"/>
    </row>
    <row r="55" spans="2:21" s="54" customFormat="1" ht="18" customHeight="1" x14ac:dyDescent="0.25">
      <c r="B55" s="126" t="str">
        <f t="shared" si="2"/>
        <v>Tuesday</v>
      </c>
      <c r="C55" s="124">
        <f t="shared" ref="C55" si="57">C53+1</f>
        <v>45314</v>
      </c>
      <c r="D55" s="34"/>
      <c r="E55" s="34"/>
      <c r="F55" s="120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15" t="s">
        <v>183</v>
      </c>
      <c r="H55" s="114">
        <f t="shared" ref="H55" si="58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0">
        <f t="shared" ref="I55" si="59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02"/>
      <c r="K55" s="103"/>
      <c r="L55" s="103"/>
      <c r="M55" s="104"/>
      <c r="N55" s="106"/>
      <c r="O55" s="106"/>
      <c r="P55" s="106"/>
      <c r="Q55" s="106"/>
      <c r="R55" s="106"/>
      <c r="U55" s="88"/>
    </row>
    <row r="56" spans="2:21" s="54" customFormat="1" ht="18" customHeight="1" x14ac:dyDescent="0.25">
      <c r="B56" s="127"/>
      <c r="C56" s="124"/>
      <c r="D56" s="34"/>
      <c r="E56" s="34"/>
      <c r="F56" s="121"/>
      <c r="G56" s="116"/>
      <c r="H56" s="114"/>
      <c r="I56" s="121"/>
      <c r="J56" s="102"/>
      <c r="K56" s="103"/>
      <c r="L56" s="103"/>
      <c r="M56" s="104"/>
      <c r="N56" s="106"/>
      <c r="O56" s="106"/>
      <c r="P56" s="106"/>
      <c r="Q56" s="106"/>
      <c r="R56" s="106"/>
      <c r="U56" s="88"/>
    </row>
    <row r="57" spans="2:21" s="54" customFormat="1" ht="18" customHeight="1" x14ac:dyDescent="0.25">
      <c r="B57" s="126" t="str">
        <f t="shared" si="2"/>
        <v>Wednesday</v>
      </c>
      <c r="C57" s="124">
        <f t="shared" ref="C57" si="60">C55+1</f>
        <v>45315</v>
      </c>
      <c r="D57" s="34"/>
      <c r="E57" s="34"/>
      <c r="F57" s="120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15" t="s">
        <v>183</v>
      </c>
      <c r="H57" s="114">
        <f t="shared" ref="H57" si="61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0">
        <f t="shared" ref="I57" si="62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02"/>
      <c r="K57" s="103"/>
      <c r="L57" s="103"/>
      <c r="M57" s="104"/>
      <c r="N57" s="105"/>
      <c r="O57" s="106"/>
      <c r="P57" s="106"/>
      <c r="Q57" s="106"/>
      <c r="R57" s="106"/>
      <c r="U57" s="88"/>
    </row>
    <row r="58" spans="2:21" s="54" customFormat="1" ht="18" customHeight="1" x14ac:dyDescent="0.25">
      <c r="B58" s="127"/>
      <c r="C58" s="124"/>
      <c r="D58" s="34"/>
      <c r="E58" s="34"/>
      <c r="F58" s="121"/>
      <c r="G58" s="116"/>
      <c r="H58" s="114"/>
      <c r="I58" s="121"/>
      <c r="J58" s="102"/>
      <c r="K58" s="103"/>
      <c r="L58" s="103"/>
      <c r="M58" s="104"/>
      <c r="N58" s="106"/>
      <c r="O58" s="106"/>
      <c r="P58" s="106"/>
      <c r="Q58" s="106"/>
      <c r="R58" s="106"/>
      <c r="U58" s="88"/>
    </row>
    <row r="59" spans="2:21" s="54" customFormat="1" ht="18" customHeight="1" x14ac:dyDescent="0.25">
      <c r="B59" s="126" t="str">
        <f t="shared" si="2"/>
        <v>Thursday</v>
      </c>
      <c r="C59" s="124">
        <f t="shared" ref="C59" si="63">C57+1</f>
        <v>45316</v>
      </c>
      <c r="D59" s="34"/>
      <c r="E59" s="34"/>
      <c r="F59" s="120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15" t="s">
        <v>183</v>
      </c>
      <c r="H59" s="114">
        <f t="shared" ref="H59" si="64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0">
        <f t="shared" ref="I59" si="65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02"/>
      <c r="K59" s="103"/>
      <c r="L59" s="103"/>
      <c r="M59" s="104"/>
      <c r="N59" s="105"/>
      <c r="O59" s="106"/>
      <c r="P59" s="106"/>
      <c r="Q59" s="106"/>
      <c r="R59" s="106"/>
      <c r="U59" s="88"/>
    </row>
    <row r="60" spans="2:21" s="54" customFormat="1" ht="18" customHeight="1" x14ac:dyDescent="0.25">
      <c r="B60" s="127"/>
      <c r="C60" s="124"/>
      <c r="D60" s="34"/>
      <c r="E60" s="34"/>
      <c r="F60" s="121"/>
      <c r="G60" s="116"/>
      <c r="H60" s="114"/>
      <c r="I60" s="121"/>
      <c r="J60" s="102"/>
      <c r="K60" s="103"/>
      <c r="L60" s="103"/>
      <c r="M60" s="104"/>
      <c r="N60" s="105"/>
      <c r="O60" s="106"/>
      <c r="P60" s="106"/>
      <c r="Q60" s="106"/>
      <c r="R60" s="106"/>
      <c r="U60" s="88"/>
    </row>
    <row r="61" spans="2:21" s="54" customFormat="1" ht="18" customHeight="1" x14ac:dyDescent="0.25">
      <c r="B61" s="126" t="str">
        <f t="shared" si="2"/>
        <v>Friday</v>
      </c>
      <c r="C61" s="124">
        <f t="shared" ref="C61" si="66">C59+1</f>
        <v>45317</v>
      </c>
      <c r="D61" s="34"/>
      <c r="E61" s="34"/>
      <c r="F61" s="120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15" t="s">
        <v>183</v>
      </c>
      <c r="H61" s="114">
        <f t="shared" ref="H61" si="67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20">
        <f t="shared" ref="I61" si="68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02"/>
      <c r="K61" s="103"/>
      <c r="L61" s="103"/>
      <c r="M61" s="104"/>
      <c r="N61" s="105"/>
      <c r="O61" s="106"/>
      <c r="P61" s="106"/>
      <c r="Q61" s="106"/>
      <c r="R61" s="106"/>
      <c r="U61" s="88"/>
    </row>
    <row r="62" spans="2:21" s="54" customFormat="1" ht="18" customHeight="1" x14ac:dyDescent="0.25">
      <c r="B62" s="127"/>
      <c r="C62" s="124"/>
      <c r="D62" s="34"/>
      <c r="E62" s="34"/>
      <c r="F62" s="121"/>
      <c r="G62" s="116"/>
      <c r="H62" s="114"/>
      <c r="I62" s="121"/>
      <c r="J62" s="102"/>
      <c r="K62" s="103"/>
      <c r="L62" s="103"/>
      <c r="M62" s="104"/>
      <c r="N62" s="105"/>
      <c r="O62" s="106"/>
      <c r="P62" s="106"/>
      <c r="Q62" s="106"/>
      <c r="R62" s="106"/>
      <c r="U62" s="88"/>
    </row>
    <row r="63" spans="2:21" s="54" customFormat="1" ht="18" customHeight="1" x14ac:dyDescent="0.25">
      <c r="B63" s="128" t="str">
        <f t="shared" si="2"/>
        <v>Saturday</v>
      </c>
      <c r="C63" s="125">
        <f t="shared" ref="C63" si="69">C61+1</f>
        <v>45318</v>
      </c>
      <c r="D63" s="90"/>
      <c r="E63" s="90"/>
      <c r="F63" s="118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22" t="s">
        <v>183</v>
      </c>
      <c r="H63" s="117">
        <f t="shared" ref="H63" si="70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18">
        <f t="shared" ref="I63" si="71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09"/>
      <c r="K63" s="110"/>
      <c r="L63" s="110"/>
      <c r="M63" s="111"/>
      <c r="N63" s="107"/>
      <c r="O63" s="108"/>
      <c r="P63" s="108"/>
      <c r="Q63" s="108"/>
      <c r="R63" s="108"/>
      <c r="U63" s="88"/>
    </row>
    <row r="64" spans="2:21" s="54" customFormat="1" ht="18" customHeight="1" x14ac:dyDescent="0.25">
      <c r="B64" s="129"/>
      <c r="C64" s="125"/>
      <c r="D64" s="90"/>
      <c r="E64" s="90"/>
      <c r="F64" s="119"/>
      <c r="G64" s="123"/>
      <c r="H64" s="117"/>
      <c r="I64" s="119"/>
      <c r="J64" s="109"/>
      <c r="K64" s="110"/>
      <c r="L64" s="110"/>
      <c r="M64" s="111"/>
      <c r="N64" s="108"/>
      <c r="O64" s="108"/>
      <c r="P64" s="108"/>
      <c r="Q64" s="108"/>
      <c r="R64" s="108"/>
      <c r="U64" s="88"/>
    </row>
    <row r="65" spans="2:21" s="54" customFormat="1" ht="18" customHeight="1" x14ac:dyDescent="0.25">
      <c r="B65" s="128" t="str">
        <f t="shared" si="2"/>
        <v>Sunday</v>
      </c>
      <c r="C65" s="125">
        <f t="shared" ref="C65" si="72">C63+1</f>
        <v>45319</v>
      </c>
      <c r="D65" s="90"/>
      <c r="E65" s="90"/>
      <c r="F65" s="118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22" t="s">
        <v>183</v>
      </c>
      <c r="H65" s="117">
        <f t="shared" ref="H65" si="73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18">
        <f t="shared" ref="I65" si="74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09"/>
      <c r="K65" s="110"/>
      <c r="L65" s="110"/>
      <c r="M65" s="111"/>
      <c r="N65" s="108"/>
      <c r="O65" s="108"/>
      <c r="P65" s="108"/>
      <c r="Q65" s="108"/>
      <c r="R65" s="108"/>
      <c r="U65" s="88"/>
    </row>
    <row r="66" spans="2:21" s="54" customFormat="1" ht="18" customHeight="1" x14ac:dyDescent="0.25">
      <c r="B66" s="129"/>
      <c r="C66" s="125"/>
      <c r="D66" s="90"/>
      <c r="E66" s="90"/>
      <c r="F66" s="119"/>
      <c r="G66" s="123"/>
      <c r="H66" s="117"/>
      <c r="I66" s="119"/>
      <c r="J66" s="109"/>
      <c r="K66" s="110"/>
      <c r="L66" s="110"/>
      <c r="M66" s="111"/>
      <c r="N66" s="108"/>
      <c r="O66" s="108"/>
      <c r="P66" s="108"/>
      <c r="Q66" s="108"/>
      <c r="R66" s="108"/>
      <c r="U66" s="88"/>
    </row>
    <row r="67" spans="2:21" s="54" customFormat="1" ht="18" customHeight="1" x14ac:dyDescent="0.25">
      <c r="B67" s="126" t="str">
        <f t="shared" si="2"/>
        <v>Monday</v>
      </c>
      <c r="C67" s="124">
        <f t="shared" ref="C67" si="75">C65+1</f>
        <v>45320</v>
      </c>
      <c r="D67" s="34"/>
      <c r="E67" s="34"/>
      <c r="F67" s="120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15" t="s">
        <v>183</v>
      </c>
      <c r="H67" s="114">
        <f t="shared" ref="H67" si="76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0">
        <f t="shared" ref="I67" si="77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02"/>
      <c r="K67" s="103"/>
      <c r="L67" s="103"/>
      <c r="M67" s="104"/>
      <c r="N67" s="106"/>
      <c r="O67" s="106"/>
      <c r="P67" s="106"/>
      <c r="Q67" s="106"/>
      <c r="R67" s="106"/>
      <c r="U67" s="88"/>
    </row>
    <row r="68" spans="2:21" s="54" customFormat="1" ht="18" customHeight="1" x14ac:dyDescent="0.25">
      <c r="B68" s="127"/>
      <c r="C68" s="124"/>
      <c r="D68" s="34"/>
      <c r="E68" s="34"/>
      <c r="F68" s="121"/>
      <c r="G68" s="116"/>
      <c r="H68" s="114"/>
      <c r="I68" s="121"/>
      <c r="J68" s="102"/>
      <c r="K68" s="103"/>
      <c r="L68" s="103"/>
      <c r="M68" s="104"/>
      <c r="N68" s="106"/>
      <c r="O68" s="106"/>
      <c r="P68" s="106"/>
      <c r="Q68" s="106"/>
      <c r="R68" s="106"/>
      <c r="U68" s="88"/>
    </row>
    <row r="69" spans="2:21" s="54" customFormat="1" ht="18" customHeight="1" x14ac:dyDescent="0.25">
      <c r="B69" s="126" t="str">
        <f t="shared" si="2"/>
        <v>Tuesday</v>
      </c>
      <c r="C69" s="124">
        <f t="shared" ref="C69" si="78">C67+1</f>
        <v>45321</v>
      </c>
      <c r="D69" s="34"/>
      <c r="E69" s="34"/>
      <c r="F69" s="120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15" t="s">
        <v>183</v>
      </c>
      <c r="H69" s="114">
        <f t="shared" ref="H69" si="79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0">
        <f t="shared" ref="I69" si="80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02"/>
      <c r="K69" s="103"/>
      <c r="L69" s="103"/>
      <c r="M69" s="104"/>
      <c r="N69" s="106"/>
      <c r="O69" s="106"/>
      <c r="P69" s="106"/>
      <c r="Q69" s="106"/>
      <c r="R69" s="106"/>
      <c r="U69" s="88"/>
    </row>
    <row r="70" spans="2:21" s="54" customFormat="1" ht="18" customHeight="1" x14ac:dyDescent="0.25">
      <c r="B70" s="127"/>
      <c r="C70" s="124"/>
      <c r="D70" s="34"/>
      <c r="E70" s="34"/>
      <c r="F70" s="121"/>
      <c r="G70" s="116"/>
      <c r="H70" s="114"/>
      <c r="I70" s="121"/>
      <c r="J70" s="102"/>
      <c r="K70" s="103"/>
      <c r="L70" s="103"/>
      <c r="M70" s="104"/>
      <c r="N70" s="106"/>
      <c r="O70" s="106"/>
      <c r="P70" s="106"/>
      <c r="Q70" s="106"/>
      <c r="R70" s="106"/>
      <c r="U70" s="88"/>
    </row>
    <row r="71" spans="2:21" ht="15" customHeight="1" x14ac:dyDescent="0.2">
      <c r="B71" s="126" t="str">
        <f>CHOOSE(WEEKDAY(C71),"Sunday","Monday","Tuesday","Wednesday","Thursday","Friday","Saturday")</f>
        <v>Wednesday</v>
      </c>
      <c r="C71" s="124">
        <f t="shared" ref="C71" si="81">C69+1</f>
        <v>45322</v>
      </c>
      <c r="D71" s="34"/>
      <c r="E71" s="34"/>
      <c r="F71" s="120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15" t="s">
        <v>183</v>
      </c>
      <c r="H71" s="114">
        <f t="shared" ref="H71" si="82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0">
        <f t="shared" ref="I71" si="83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02"/>
      <c r="K71" s="103"/>
      <c r="L71" s="103"/>
      <c r="M71" s="104"/>
      <c r="N71" s="105"/>
      <c r="O71" s="106"/>
      <c r="P71" s="106"/>
      <c r="Q71" s="106"/>
      <c r="R71" s="106"/>
    </row>
    <row r="72" spans="2:21" ht="15.75" customHeight="1" x14ac:dyDescent="0.2">
      <c r="B72" s="127"/>
      <c r="C72" s="124"/>
      <c r="D72" s="34"/>
      <c r="E72" s="34"/>
      <c r="F72" s="121"/>
      <c r="G72" s="116"/>
      <c r="H72" s="114"/>
      <c r="I72" s="121"/>
      <c r="J72" s="102"/>
      <c r="K72" s="103"/>
      <c r="L72" s="103"/>
      <c r="M72" s="104"/>
      <c r="N72" s="106"/>
      <c r="O72" s="106"/>
      <c r="P72" s="106"/>
      <c r="Q72" s="106"/>
      <c r="R72" s="106"/>
      <c r="U72" s="87">
        <f>List!F19</f>
        <v>22</v>
      </c>
    </row>
    <row r="73" spans="2:21" ht="16.5" customHeight="1" x14ac:dyDescent="0.2">
      <c r="B73" s="18"/>
      <c r="C73" s="19"/>
      <c r="D73" s="25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</row>
    <row r="74" spans="2:21" ht="15" customHeight="1" x14ac:dyDescent="0.2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</row>
    <row r="75" spans="2:21" ht="15" customHeight="1" x14ac:dyDescent="0.2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</row>
    <row r="76" spans="2:21" ht="68" x14ac:dyDescent="0.2">
      <c r="B76" s="18"/>
      <c r="E76" s="35" t="s">
        <v>44</v>
      </c>
      <c r="F76" s="35" t="s">
        <v>45</v>
      </c>
      <c r="G76" s="35" t="s">
        <v>46</v>
      </c>
      <c r="H76" s="35" t="s">
        <v>47</v>
      </c>
      <c r="I76" s="35" t="s">
        <v>64</v>
      </c>
      <c r="J76" s="35" t="s">
        <v>65</v>
      </c>
      <c r="K76" s="35" t="s">
        <v>66</v>
      </c>
      <c r="L76" s="35" t="s">
        <v>52</v>
      </c>
      <c r="M76" s="35" t="s">
        <v>53</v>
      </c>
      <c r="N76" s="35" t="s">
        <v>55</v>
      </c>
      <c r="O76" s="35" t="s">
        <v>54</v>
      </c>
    </row>
    <row r="77" spans="2:21" ht="15" customHeight="1" x14ac:dyDescent="0.2">
      <c r="B77" s="18"/>
      <c r="E77" s="167">
        <f>F77*8</f>
        <v>0</v>
      </c>
      <c r="F77" s="167">
        <f>COUNTIF(List!$K$3:$K$72,"&gt;0")</f>
        <v>0</v>
      </c>
      <c r="G77" s="151">
        <f>SUM('Timesheet-Regular'!$F$11:$F$72)</f>
        <v>18</v>
      </c>
      <c r="H77" s="151">
        <f>G77/8</f>
        <v>2.25</v>
      </c>
      <c r="I77" s="151" t="str">
        <f>IF($D$6="Yes",COUNTIF(List!L3:L72,"morning"),"")</f>
        <v/>
      </c>
      <c r="J77" s="151" t="str">
        <f>IF($D$6="Yes",COUNTIF(List!L3:L72,"afternoon"),"")</f>
        <v/>
      </c>
      <c r="K77" s="151" t="str">
        <f>IF($D$6="Yes",COUNTIF(List!L3:L72,"night"),"")</f>
        <v/>
      </c>
      <c r="L77" s="151">
        <f>SUM('Timesheet-Regular'!$H$11:$H$72)</f>
        <v>0</v>
      </c>
      <c r="M77" s="151">
        <f>L77/8</f>
        <v>0</v>
      </c>
      <c r="N77" s="151">
        <f>SUM('Timesheet-Regular'!$I$11:$I$72)</f>
        <v>0</v>
      </c>
      <c r="O77" s="151">
        <f>N77/8</f>
        <v>0</v>
      </c>
    </row>
    <row r="78" spans="2:21" ht="15" customHeight="1" x14ac:dyDescent="0.2">
      <c r="B78" s="18"/>
      <c r="E78" s="167"/>
      <c r="F78" s="167"/>
      <c r="G78" s="152"/>
      <c r="H78" s="152"/>
      <c r="I78" s="152"/>
      <c r="J78" s="152"/>
      <c r="K78" s="152"/>
      <c r="L78" s="152"/>
      <c r="M78" s="152"/>
      <c r="N78" s="152"/>
      <c r="O78" s="152"/>
    </row>
    <row r="79" spans="2:21" ht="15" customHeight="1" x14ac:dyDescent="0.2">
      <c r="B79" s="18"/>
      <c r="E79" s="167"/>
      <c r="F79" s="167"/>
      <c r="G79" s="153"/>
      <c r="H79" s="153"/>
      <c r="I79" s="153"/>
      <c r="J79" s="153"/>
      <c r="K79" s="153"/>
      <c r="L79" s="153"/>
      <c r="M79" s="153"/>
      <c r="N79" s="153"/>
      <c r="O79" s="153"/>
    </row>
    <row r="80" spans="2:21" ht="18" customHeight="1" x14ac:dyDescent="0.2">
      <c r="B80" s="18"/>
      <c r="C80" s="19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19"/>
    </row>
    <row r="81" spans="2:18" ht="15" hidden="1" customHeight="1" x14ac:dyDescent="0.2">
      <c r="B81" s="18"/>
      <c r="C81" s="19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9"/>
      <c r="R81" s="19"/>
    </row>
    <row r="82" spans="2:18" ht="15" hidden="1" customHeight="1" x14ac:dyDescent="0.2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</row>
    <row r="83" spans="2:18" ht="15" customHeight="1" x14ac:dyDescent="0.2">
      <c r="B83" s="157" t="s">
        <v>1</v>
      </c>
      <c r="C83" s="157"/>
      <c r="D83" s="157"/>
      <c r="E83" s="157" t="s">
        <v>11</v>
      </c>
      <c r="F83" s="157"/>
      <c r="G83" s="157"/>
      <c r="H83" s="154" t="s">
        <v>128</v>
      </c>
      <c r="I83" s="155"/>
      <c r="J83" s="156"/>
      <c r="K83" s="154" t="s">
        <v>11</v>
      </c>
      <c r="L83" s="155"/>
      <c r="M83" s="156"/>
      <c r="N83" s="154" t="s">
        <v>129</v>
      </c>
      <c r="O83" s="155"/>
      <c r="P83" s="156"/>
      <c r="Q83" s="157" t="s">
        <v>11</v>
      </c>
      <c r="R83" s="157"/>
    </row>
    <row r="84" spans="2:18" ht="15" customHeight="1" x14ac:dyDescent="0.2">
      <c r="B84" s="133" t="str">
        <f>D3</f>
        <v>Triyana Kadarisman</v>
      </c>
      <c r="C84" s="134"/>
      <c r="D84" s="135"/>
      <c r="E84" s="142"/>
      <c r="F84" s="143"/>
      <c r="G84" s="144"/>
      <c r="H84" s="158" t="s">
        <v>210</v>
      </c>
      <c r="I84" s="159"/>
      <c r="J84" s="160"/>
      <c r="K84" s="142"/>
      <c r="L84" s="143"/>
      <c r="M84" s="144"/>
      <c r="N84" s="158" t="s">
        <v>211</v>
      </c>
      <c r="O84" s="159"/>
      <c r="P84" s="160"/>
      <c r="Q84" s="142"/>
      <c r="R84" s="144"/>
    </row>
    <row r="85" spans="2:18" ht="15" customHeight="1" x14ac:dyDescent="0.2">
      <c r="B85" s="136"/>
      <c r="C85" s="137"/>
      <c r="D85" s="138"/>
      <c r="E85" s="145"/>
      <c r="F85" s="146"/>
      <c r="G85" s="147"/>
      <c r="H85" s="161"/>
      <c r="I85" s="162"/>
      <c r="J85" s="163"/>
      <c r="K85" s="145"/>
      <c r="L85" s="146"/>
      <c r="M85" s="147"/>
      <c r="N85" s="161"/>
      <c r="O85" s="162"/>
      <c r="P85" s="163"/>
      <c r="Q85" s="145"/>
      <c r="R85" s="147"/>
    </row>
    <row r="86" spans="2:18" ht="15" customHeight="1" x14ac:dyDescent="0.2">
      <c r="B86" s="136"/>
      <c r="C86" s="137"/>
      <c r="D86" s="138"/>
      <c r="E86" s="145"/>
      <c r="F86" s="146"/>
      <c r="G86" s="147"/>
      <c r="H86" s="161"/>
      <c r="I86" s="162"/>
      <c r="J86" s="163"/>
      <c r="K86" s="145"/>
      <c r="L86" s="146"/>
      <c r="M86" s="147"/>
      <c r="N86" s="161"/>
      <c r="O86" s="162"/>
      <c r="P86" s="163"/>
      <c r="Q86" s="145"/>
      <c r="R86" s="147"/>
    </row>
    <row r="87" spans="2:18" ht="15" customHeight="1" x14ac:dyDescent="0.2">
      <c r="B87" s="139"/>
      <c r="C87" s="140"/>
      <c r="D87" s="141"/>
      <c r="E87" s="148"/>
      <c r="F87" s="149"/>
      <c r="G87" s="150"/>
      <c r="H87" s="164"/>
      <c r="I87" s="165"/>
      <c r="J87" s="166"/>
      <c r="K87" s="148"/>
      <c r="L87" s="149"/>
      <c r="M87" s="150"/>
      <c r="N87" s="164"/>
      <c r="O87" s="165"/>
      <c r="P87" s="166"/>
      <c r="Q87" s="148"/>
      <c r="R87" s="150"/>
    </row>
    <row r="88" spans="2:18" ht="15" customHeight="1" x14ac:dyDescent="0.2">
      <c r="B88" s="18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</row>
    <row r="89" spans="2:18" ht="15" customHeight="1" x14ac:dyDescent="0.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2" customHeight="1" x14ac:dyDescent="0.2">
      <c r="B90" s="18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</sheetData>
  <sheetProtection algorithmName="SHA-512" hashValue="Qwdovzqjx+cS1JyidUFpMHFHtIgZTowc6YYzMBdUaQoUTFlOKEhdMGDbgzs2lVcXNrFrxORc8r1TPobGTCrwLQ==" saltValue="yHR7PYHEUYUNjF0pG73xaw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11:F70 F13:G72 F11:I14">
    <cfRule type="cellIs" dxfId="26" priority="83" operator="equal">
      <formula>0</formula>
    </cfRule>
  </conditionalFormatting>
  <conditionalFormatting sqref="F11:F72">
    <cfRule type="cellIs" dxfId="25" priority="25" operator="equal">
      <formula>0</formula>
    </cfRule>
  </conditionalFormatting>
  <conditionalFormatting sqref="F23:F24">
    <cfRule type="cellIs" dxfId="24" priority="22" operator="equal">
      <formula>0</formula>
    </cfRule>
  </conditionalFormatting>
  <conditionalFormatting sqref="F35:F38">
    <cfRule type="cellIs" dxfId="23" priority="16" operator="equal">
      <formula>0</formula>
    </cfRule>
    <cfRule type="cellIs" dxfId="22" priority="17" operator="equal">
      <formula>0</formula>
    </cfRule>
  </conditionalFormatting>
  <conditionalFormatting sqref="F43:F44">
    <cfRule type="cellIs" dxfId="21" priority="13" operator="equal">
      <formula>0</formula>
    </cfRule>
    <cfRule type="cellIs" dxfId="20" priority="14" operator="equal">
      <formula>0</formula>
    </cfRule>
  </conditionalFormatting>
  <conditionalFormatting sqref="F49:F52">
    <cfRule type="cellIs" dxfId="19" priority="7" operator="equal">
      <formula>0</formula>
    </cfRule>
    <cfRule type="cellIs" dxfId="18" priority="8" operator="equal">
      <formula>0</formula>
    </cfRule>
  </conditionalFormatting>
  <conditionalFormatting sqref="F63:F66">
    <cfRule type="cellIs" dxfId="17" priority="1" operator="equal">
      <formula>0</formula>
    </cfRule>
    <cfRule type="cellIs" dxfId="16" priority="2" operator="equal">
      <formula>0</formula>
    </cfRule>
  </conditionalFormatting>
  <conditionalFormatting sqref="F71:F72">
    <cfRule type="cellIs" dxfId="15" priority="23" operator="equal">
      <formula>0</formula>
    </cfRule>
    <cfRule type="cellIs" dxfId="14" priority="24" operator="equal">
      <formula>0</formula>
    </cfRule>
  </conditionalFormatting>
  <conditionalFormatting sqref="F77:F79">
    <cfRule type="expression" dxfId="13" priority="74">
      <formula>$U$72=0</formula>
    </cfRule>
  </conditionalFormatting>
  <conditionalFormatting sqref="F41:G43 I41:I43 H41:H46 F45:G45 I45">
    <cfRule type="cellIs" dxfId="12" priority="76" operator="equal">
      <formula>0</formula>
    </cfRule>
  </conditionalFormatting>
  <conditionalFormatting sqref="F57:G57 I57 F59:G59 I59">
    <cfRule type="cellIs" dxfId="11" priority="70" operator="equal">
      <formula>0</formula>
    </cfRule>
  </conditionalFormatting>
  <conditionalFormatting sqref="F71:G71 F69:G69 I69 I71">
    <cfRule type="cellIs" dxfId="10" priority="66" operator="equal">
      <formula>0</formula>
    </cfRule>
  </conditionalFormatting>
  <conditionalFormatting sqref="F15:I18">
    <cfRule type="cellIs" dxfId="9" priority="82" operator="equal">
      <formula>0</formula>
    </cfRule>
  </conditionalFormatting>
  <conditionalFormatting sqref="F19:I28">
    <cfRule type="cellIs" dxfId="8" priority="63" operator="equal">
      <formula>0</formula>
    </cfRule>
  </conditionalFormatting>
  <conditionalFormatting sqref="F29:I32">
    <cfRule type="cellIs" dxfId="7" priority="73" operator="equal">
      <formula>0</formula>
    </cfRule>
  </conditionalFormatting>
  <conditionalFormatting sqref="F33:I42">
    <cfRule type="cellIs" dxfId="6" priority="62" operator="equal">
      <formula>0</formula>
    </cfRule>
  </conditionalFormatting>
  <conditionalFormatting sqref="F43:I46">
    <cfRule type="cellIs" dxfId="5" priority="71" operator="equal">
      <formula>0</formula>
    </cfRule>
  </conditionalFormatting>
  <conditionalFormatting sqref="F47:I56">
    <cfRule type="cellIs" dxfId="4" priority="79" operator="equal">
      <formula>0</formula>
    </cfRule>
  </conditionalFormatting>
  <conditionalFormatting sqref="F57:I60">
    <cfRule type="cellIs" dxfId="3" priority="68" operator="equal">
      <formula>0</formula>
    </cfRule>
  </conditionalFormatting>
  <conditionalFormatting sqref="F61:I68">
    <cfRule type="cellIs" dxfId="2" priority="61" operator="equal">
      <formula>0</formula>
    </cfRule>
  </conditionalFormatting>
  <conditionalFormatting sqref="F61:I72">
    <cfRule type="cellIs" dxfId="1" priority="78" operator="equal">
      <formula>0</formula>
    </cfRule>
  </conditionalFormatting>
  <conditionalFormatting sqref="F69:I72">
    <cfRule type="cellIs" dxfId="0" priority="64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2000000}">
          <x14:formula1>
            <xm:f>List!B$3:B$82</xm:f>
          </x14:formula1>
          <xm:sqref>D2:J2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J11:M12 J63:M66 J49:M52 J35:M38 J21:M24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J67:M72 J53:M62 J39:M48 J25:M34 J13:M20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J11:J12 J63:J66 J49:J52 J35:J38 J21:J24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J67:J72 J53:J62 J39:J48 J25:J34 J13:J20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U88"/>
  <sheetViews>
    <sheetView showGridLines="0" showZeros="0" view="pageLayout" zoomScale="70" zoomScaleNormal="90" zoomScalePageLayoutView="70" workbookViewId="0">
      <selection activeCell="J41" sqref="J41:Q41"/>
    </sheetView>
  </sheetViews>
  <sheetFormatPr baseColWidth="10" defaultColWidth="9.1640625" defaultRowHeight="15" x14ac:dyDescent="0.2"/>
  <cols>
    <col min="1" max="1" width="3.5" style="10" customWidth="1"/>
    <col min="2" max="2" width="14" style="10" customWidth="1"/>
    <col min="3" max="3" width="9.6640625" style="10" customWidth="1"/>
    <col min="4" max="4" width="11.33203125" style="10" customWidth="1"/>
    <col min="5" max="5" width="10.5" style="10" customWidth="1"/>
    <col min="6" max="7" width="10.6640625" style="10" customWidth="1"/>
    <col min="8" max="8" width="10.83203125" style="10" customWidth="1"/>
    <col min="9" max="9" width="17.33203125" style="10" customWidth="1"/>
    <col min="10" max="10" width="9.83203125" style="10" customWidth="1"/>
    <col min="11" max="11" width="10.5" style="10" customWidth="1"/>
    <col min="12" max="12" width="9.1640625" style="10" customWidth="1"/>
    <col min="13" max="13" width="9.33203125" style="10" customWidth="1"/>
    <col min="14" max="14" width="7.5" style="10" customWidth="1"/>
    <col min="15" max="15" width="9.6640625" style="10" customWidth="1"/>
    <col min="16" max="16" width="6.83203125" style="10" customWidth="1"/>
    <col min="17" max="17" width="5.83203125" style="10" customWidth="1"/>
    <col min="18" max="18" width="8.5" style="10" bestFit="1" customWidth="1"/>
    <col min="19" max="20" width="9.6640625" style="10" customWidth="1"/>
    <col min="21" max="21" width="9.33203125" style="10" customWidth="1"/>
    <col min="22" max="16384" width="9.1640625" style="10"/>
  </cols>
  <sheetData>
    <row r="2" spans="2:21" ht="15" customHeight="1" x14ac:dyDescent="0.2">
      <c r="D2" s="130" t="s">
        <v>0</v>
      </c>
      <c r="E2" s="130"/>
      <c r="F2" s="73" t="str">
        <f>'Timesheet-Regular'!D2</f>
        <v>DBS</v>
      </c>
      <c r="G2" s="74"/>
      <c r="H2" s="74"/>
      <c r="I2" s="74"/>
      <c r="J2" s="74"/>
      <c r="K2" s="74"/>
      <c r="L2" s="74"/>
      <c r="M2" s="75"/>
      <c r="N2" s="11"/>
      <c r="O2" s="11"/>
      <c r="P2" s="11"/>
      <c r="S2" s="12"/>
      <c r="T2" s="12"/>
    </row>
    <row r="3" spans="2:21" ht="15" customHeight="1" x14ac:dyDescent="0.2">
      <c r="D3" s="130" t="s">
        <v>1</v>
      </c>
      <c r="E3" s="130"/>
      <c r="F3" s="189" t="str">
        <f>'Timesheet-Regular'!D3</f>
        <v>Triyana Kadarisman</v>
      </c>
      <c r="G3" s="190"/>
      <c r="H3" s="190"/>
      <c r="I3" s="190"/>
      <c r="J3" s="190"/>
      <c r="K3" s="190"/>
      <c r="L3" s="190"/>
      <c r="M3" s="191"/>
      <c r="S3" s="12"/>
      <c r="T3" s="12"/>
    </row>
    <row r="4" spans="2:21" ht="15" customHeight="1" x14ac:dyDescent="0.2">
      <c r="D4" s="130" t="s">
        <v>2</v>
      </c>
      <c r="E4" s="130"/>
      <c r="F4" s="189" t="str">
        <f>'Timesheet-Regular'!D4</f>
        <v>SQL Developer</v>
      </c>
      <c r="G4" s="190"/>
      <c r="H4" s="190"/>
      <c r="I4" s="190"/>
      <c r="J4" s="190"/>
      <c r="K4" s="190"/>
      <c r="L4" s="190"/>
      <c r="M4" s="191"/>
      <c r="N4" s="14"/>
      <c r="S4" s="12"/>
      <c r="T4" s="12"/>
    </row>
    <row r="5" spans="2:21" ht="15" customHeight="1" x14ac:dyDescent="0.2">
      <c r="B5" s="11"/>
      <c r="D5" s="130" t="s">
        <v>3</v>
      </c>
      <c r="E5" s="130"/>
      <c r="F5" s="192">
        <f>'Timesheet-Regular'!D7</f>
        <v>45292</v>
      </c>
      <c r="G5" s="193"/>
      <c r="H5" s="193"/>
      <c r="I5" s="193"/>
      <c r="J5" s="193"/>
      <c r="K5" s="193"/>
      <c r="L5" s="193"/>
      <c r="M5" s="194"/>
      <c r="S5" s="12"/>
      <c r="T5" s="12"/>
    </row>
    <row r="6" spans="2:21" ht="15" customHeight="1" x14ac:dyDescent="0.2">
      <c r="B6" s="49"/>
      <c r="C6" s="15"/>
      <c r="D6" s="130" t="s">
        <v>196</v>
      </c>
      <c r="E6" s="130"/>
      <c r="F6" s="202">
        <f>'Timesheet-Regular'!D8</f>
        <v>142004</v>
      </c>
      <c r="G6" s="203"/>
      <c r="H6" s="203"/>
      <c r="I6" s="203"/>
      <c r="J6" s="203"/>
      <c r="K6" s="203"/>
      <c r="L6" s="203"/>
      <c r="M6" s="204"/>
      <c r="N6" s="29"/>
      <c r="S6" s="12"/>
      <c r="T6" s="12"/>
    </row>
    <row r="7" spans="2:21" ht="15" customHeight="1" x14ac:dyDescent="0.2">
      <c r="B7" s="49"/>
      <c r="C7" s="49"/>
      <c r="D7" s="16"/>
      <c r="E7" s="16"/>
      <c r="F7" s="16"/>
      <c r="G7" s="16"/>
      <c r="H7" s="16"/>
      <c r="I7" s="16"/>
      <c r="J7" s="16"/>
      <c r="K7" s="16"/>
      <c r="L7" s="50"/>
      <c r="M7" s="50"/>
      <c r="N7" s="29"/>
      <c r="O7" s="17"/>
      <c r="P7" s="17"/>
      <c r="Q7" s="17"/>
      <c r="R7" s="12"/>
      <c r="S7" s="12"/>
      <c r="T7" s="12"/>
    </row>
    <row r="8" spans="2:21" ht="51" x14ac:dyDescent="0.2">
      <c r="C8" s="35" t="s">
        <v>4</v>
      </c>
      <c r="D8" s="51" t="s">
        <v>5</v>
      </c>
      <c r="E8" s="35" t="s">
        <v>6</v>
      </c>
      <c r="F8" s="35" t="s">
        <v>7</v>
      </c>
      <c r="G8" s="35" t="s">
        <v>143</v>
      </c>
      <c r="H8" s="35" t="s">
        <v>135</v>
      </c>
      <c r="I8" s="35" t="s">
        <v>14</v>
      </c>
      <c r="J8" s="113" t="s">
        <v>15</v>
      </c>
      <c r="K8" s="113"/>
      <c r="L8" s="113"/>
      <c r="M8" s="113"/>
      <c r="N8" s="113"/>
      <c r="O8" s="113"/>
      <c r="P8" s="113"/>
      <c r="Q8" s="113"/>
    </row>
    <row r="9" spans="2:21" ht="15" customHeight="1" x14ac:dyDescent="0.2">
      <c r="C9" s="128" t="str">
        <f>CHOOSE(WEEKDAY(D9),"Sunday","Monday","Tuesday","Wednesday","Thursday","Friday","Saturday")</f>
        <v>Monday</v>
      </c>
      <c r="D9" s="175">
        <f>F5</f>
        <v>45292</v>
      </c>
      <c r="E9" s="9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91">
        <f>IFERROR(IF(E9=0,0,IF('OT Form'!G9="Yes",Sheet2!C4,0)),"")</f>
        <v>0</v>
      </c>
      <c r="G9" s="9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Form'!$F$2,"",IF(Sheet2!F4="Yes","Yes","")),
IF(OR(C9="Monday",C9="Tuesday",C9="Wednesday",C9="Thursday",C9="Friday"),IF(IFERROR(VLOOKUP($F$2,List!$A$4:$A$39,1,0),"")='OT Form'!$F$2,"",IF(Sheet2!F4="Yes","Yes",""))))</f>
        <v/>
      </c>
      <c r="H9" s="118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84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186"/>
      <c r="K9" s="187"/>
      <c r="L9" s="187"/>
      <c r="M9" s="187"/>
      <c r="N9" s="187"/>
      <c r="O9" s="187"/>
      <c r="P9" s="187"/>
      <c r="Q9" s="188"/>
      <c r="R9" s="11"/>
      <c r="U9" s="56"/>
    </row>
    <row r="10" spans="2:21" ht="15" customHeight="1" x14ac:dyDescent="0.2">
      <c r="C10" s="129"/>
      <c r="D10" s="176"/>
      <c r="E10" s="91">
        <f>IFERROR(IF(G10="Yes",Sheet2!B5,0),"")</f>
        <v>0</v>
      </c>
      <c r="F10" s="91">
        <f>IFERROR(IF('OT Form'!G10="Yes",Sheet2!C5,0),"")</f>
        <v>0</v>
      </c>
      <c r="G10" s="9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19"/>
      <c r="I10" s="185"/>
      <c r="J10" s="186"/>
      <c r="K10" s="187"/>
      <c r="L10" s="187"/>
      <c r="M10" s="187"/>
      <c r="N10" s="187"/>
      <c r="O10" s="187"/>
      <c r="P10" s="187"/>
      <c r="Q10" s="188"/>
      <c r="R10" s="11"/>
      <c r="U10" s="58"/>
    </row>
    <row r="11" spans="2:21" ht="15" customHeight="1" x14ac:dyDescent="0.2">
      <c r="C11" s="126" t="str">
        <f t="shared" ref="C11" si="0">CHOOSE(WEEKDAY(D11),"Sunday","Monday","Tuesday","Wednesday","Thursday","Friday","Saturday")</f>
        <v>Tuesday</v>
      </c>
      <c r="D11" s="177">
        <f>D9+1</f>
        <v>45293</v>
      </c>
      <c r="E11" s="57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57">
        <f>IFERROR(IF(E11=0,0,IF('OT Form'!G11="Yes",Sheet2!C6,0)),"")</f>
        <v>0</v>
      </c>
      <c r="G11" s="34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20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79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181"/>
      <c r="K11" s="182"/>
      <c r="L11" s="182"/>
      <c r="M11" s="182"/>
      <c r="N11" s="182"/>
      <c r="O11" s="182"/>
      <c r="P11" s="182"/>
      <c r="Q11" s="183"/>
      <c r="R11" s="11"/>
      <c r="S11" s="11"/>
      <c r="U11" s="56" t="s">
        <v>59</v>
      </c>
    </row>
    <row r="12" spans="2:21" ht="15" customHeight="1" x14ac:dyDescent="0.2">
      <c r="C12" s="127"/>
      <c r="D12" s="178"/>
      <c r="E12" s="57">
        <f>IFERROR(IF(G12="Yes",Sheet2!B7,0),"")</f>
        <v>0</v>
      </c>
      <c r="F12" s="57">
        <f>IFERROR(IF('OT Form'!G12="Yes",Sheet2!C7,0),"")</f>
        <v>0</v>
      </c>
      <c r="G12" s="34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21"/>
      <c r="I12" s="180"/>
      <c r="J12" s="181"/>
      <c r="K12" s="182"/>
      <c r="L12" s="182"/>
      <c r="M12" s="182"/>
      <c r="N12" s="182"/>
      <c r="O12" s="182"/>
      <c r="P12" s="182"/>
      <c r="Q12" s="183"/>
      <c r="R12" s="11"/>
      <c r="S12" s="11"/>
      <c r="U12" s="56" t="s">
        <v>60</v>
      </c>
    </row>
    <row r="13" spans="2:21" ht="15" customHeight="1" x14ac:dyDescent="0.2">
      <c r="C13" s="126" t="str">
        <f t="shared" ref="C13" si="1">CHOOSE(WEEKDAY(D13),"Sunday","Monday","Tuesday","Wednesday","Thursday","Friday","Saturday")</f>
        <v>Wednesday</v>
      </c>
      <c r="D13" s="177">
        <f t="shared" ref="D13" si="2">D11+1</f>
        <v>45294</v>
      </c>
      <c r="E13" s="57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57">
        <f>IFERROR(IF(E13=0,0,IF('OT Form'!G13="Yes",Sheet2!C8,0)),"")</f>
        <v>0</v>
      </c>
      <c r="G13" s="34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20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79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181"/>
      <c r="K13" s="182"/>
      <c r="L13" s="182"/>
      <c r="M13" s="182"/>
      <c r="N13" s="182"/>
      <c r="O13" s="182"/>
      <c r="P13" s="182"/>
      <c r="Q13" s="183"/>
      <c r="R13" s="11"/>
      <c r="S13" s="11"/>
      <c r="U13" s="56"/>
    </row>
    <row r="14" spans="2:21" ht="15" customHeight="1" x14ac:dyDescent="0.2">
      <c r="C14" s="127"/>
      <c r="D14" s="178"/>
      <c r="E14" s="57">
        <f>IFERROR(IF(G14="Yes",Sheet2!B9,0),"")</f>
        <v>0</v>
      </c>
      <c r="F14" s="57">
        <f>IFERROR(IF('OT Form'!G14="Yes",Sheet2!C9,0),"")</f>
        <v>0</v>
      </c>
      <c r="G14" s="34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21"/>
      <c r="I14" s="180"/>
      <c r="J14" s="181"/>
      <c r="K14" s="182"/>
      <c r="L14" s="182"/>
      <c r="M14" s="182"/>
      <c r="N14" s="182"/>
      <c r="O14" s="182"/>
      <c r="P14" s="182"/>
      <c r="Q14" s="183"/>
      <c r="R14" s="11"/>
      <c r="S14" s="11"/>
      <c r="T14" s="61"/>
    </row>
    <row r="15" spans="2:21" ht="15" customHeight="1" x14ac:dyDescent="0.2">
      <c r="C15" s="126" t="str">
        <f t="shared" ref="C15" si="3">CHOOSE(WEEKDAY(D15),"Sunday","Monday","Tuesday","Wednesday","Thursday","Friday","Saturday")</f>
        <v>Thursday</v>
      </c>
      <c r="D15" s="177">
        <f t="shared" ref="D15" si="4">D13+1</f>
        <v>45295</v>
      </c>
      <c r="E15" s="57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57">
        <f>IFERROR(IF(E15=0,0,IF('OT Form'!G15="Yes",Sheet2!C10,0)),"")</f>
        <v>0</v>
      </c>
      <c r="G15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20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79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181"/>
      <c r="K15" s="182"/>
      <c r="L15" s="182"/>
      <c r="M15" s="182"/>
      <c r="N15" s="182"/>
      <c r="O15" s="182"/>
      <c r="P15" s="182"/>
      <c r="Q15" s="183"/>
      <c r="R15" s="11"/>
      <c r="S15" s="11"/>
    </row>
    <row r="16" spans="2:21" ht="15" customHeight="1" x14ac:dyDescent="0.2">
      <c r="C16" s="127"/>
      <c r="D16" s="178"/>
      <c r="E16" s="57">
        <f>IFERROR(IF(G16="Yes",Sheet2!B11,0),"")</f>
        <v>0</v>
      </c>
      <c r="F16" s="57">
        <f>IFERROR(IF('OT Form'!G16="Yes",Sheet2!C11,0),"")</f>
        <v>0</v>
      </c>
      <c r="G16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21"/>
      <c r="I16" s="180"/>
      <c r="J16" s="181"/>
      <c r="K16" s="182"/>
      <c r="L16" s="182"/>
      <c r="M16" s="182"/>
      <c r="N16" s="182"/>
      <c r="O16" s="182"/>
      <c r="P16" s="182"/>
      <c r="Q16" s="183"/>
      <c r="S16" s="11"/>
    </row>
    <row r="17" spans="3:19" ht="15" customHeight="1" x14ac:dyDescent="0.2">
      <c r="C17" s="126" t="str">
        <f t="shared" ref="C17" si="5">CHOOSE(WEEKDAY(D17),"Sunday","Monday","Tuesday","Wednesday","Thursday","Friday","Saturday")</f>
        <v>Friday</v>
      </c>
      <c r="D17" s="177">
        <f t="shared" ref="D17" si="6">D15+1</f>
        <v>45296</v>
      </c>
      <c r="E17" s="57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57">
        <f>IFERROR(IF(E17=0,0,IF('OT Form'!G17="Yes",Sheet2!C12,0)),"")</f>
        <v>0</v>
      </c>
      <c r="G17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20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79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181"/>
      <c r="K17" s="182"/>
      <c r="L17" s="182"/>
      <c r="M17" s="182"/>
      <c r="N17" s="182"/>
      <c r="O17" s="182"/>
      <c r="P17" s="182"/>
      <c r="Q17" s="183"/>
      <c r="S17" s="11"/>
    </row>
    <row r="18" spans="3:19" ht="15" customHeight="1" x14ac:dyDescent="0.2">
      <c r="C18" s="127"/>
      <c r="D18" s="178"/>
      <c r="E18" s="57">
        <f>IFERROR(IF(G18="Yes",Sheet2!B13,0),"")</f>
        <v>0</v>
      </c>
      <c r="F18" s="57">
        <f>IFERROR(IF('OT Form'!G18="Yes",Sheet2!C13,0),"")</f>
        <v>0</v>
      </c>
      <c r="G18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21"/>
      <c r="I18" s="180"/>
      <c r="J18" s="181"/>
      <c r="K18" s="182"/>
      <c r="L18" s="182"/>
      <c r="M18" s="182"/>
      <c r="N18" s="182"/>
      <c r="O18" s="182"/>
      <c r="P18" s="182"/>
      <c r="Q18" s="183"/>
      <c r="S18" s="11"/>
    </row>
    <row r="19" spans="3:19" ht="15" customHeight="1" x14ac:dyDescent="0.2">
      <c r="C19" s="128" t="str">
        <f t="shared" ref="C19" si="7">CHOOSE(WEEKDAY(D19),"Sunday","Monday","Tuesday","Wednesday","Thursday","Friday","Saturday")</f>
        <v>Saturday</v>
      </c>
      <c r="D19" s="175">
        <f t="shared" ref="D19" si="8">D17+1</f>
        <v>45297</v>
      </c>
      <c r="E19" s="9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91">
        <f>IFERROR(IF(E19=0,0,IF('OT Form'!G19="Yes",Sheet2!C14,0)),"")</f>
        <v>0</v>
      </c>
      <c r="G19" s="9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18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84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186"/>
      <c r="K19" s="187"/>
      <c r="L19" s="187"/>
      <c r="M19" s="187"/>
      <c r="N19" s="187"/>
      <c r="O19" s="187"/>
      <c r="P19" s="187"/>
      <c r="Q19" s="188"/>
      <c r="S19" s="11"/>
    </row>
    <row r="20" spans="3:19" ht="15" customHeight="1" x14ac:dyDescent="0.2">
      <c r="C20" s="129"/>
      <c r="D20" s="176"/>
      <c r="E20" s="91">
        <f>IFERROR(IF(G20="Yes",Sheet2!B15,0),"")</f>
        <v>0</v>
      </c>
      <c r="F20" s="91">
        <f>IFERROR(IF('OT Form'!G20="Yes",Sheet2!C15,0),"")</f>
        <v>0</v>
      </c>
      <c r="G20" s="9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19"/>
      <c r="I20" s="185"/>
      <c r="J20" s="186"/>
      <c r="K20" s="187"/>
      <c r="L20" s="187"/>
      <c r="M20" s="187"/>
      <c r="N20" s="187"/>
      <c r="O20" s="187"/>
      <c r="P20" s="187"/>
      <c r="Q20" s="188"/>
      <c r="S20" s="11"/>
    </row>
    <row r="21" spans="3:19" ht="15" customHeight="1" x14ac:dyDescent="0.2">
      <c r="C21" s="128" t="str">
        <f>CHOOSE(WEEKDAY(D21),"Sunday","Monday","Tuesday","Wednesday","Thursday","Friday","Saturday")</f>
        <v>Sunday</v>
      </c>
      <c r="D21" s="175">
        <f t="shared" ref="D21" si="9">D19+1</f>
        <v>45298</v>
      </c>
      <c r="E21" s="9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91">
        <f>IFERROR(IF(E21=0,0,IF('OT Form'!G21="Yes",Sheet2!C16,0)),"")</f>
        <v>0</v>
      </c>
      <c r="G21" s="9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18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84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186"/>
      <c r="K21" s="187"/>
      <c r="L21" s="187"/>
      <c r="M21" s="187"/>
      <c r="N21" s="187"/>
      <c r="O21" s="187"/>
      <c r="P21" s="187"/>
      <c r="Q21" s="188"/>
      <c r="S21" s="11"/>
    </row>
    <row r="22" spans="3:19" ht="15" customHeight="1" x14ac:dyDescent="0.2">
      <c r="C22" s="129"/>
      <c r="D22" s="176"/>
      <c r="E22" s="91">
        <f>IFERROR(IF(G22="Yes",Sheet2!B17,0),"")</f>
        <v>0</v>
      </c>
      <c r="F22" s="91">
        <f>IFERROR(IF('OT Form'!G22="Yes",Sheet2!C17,0),"")</f>
        <v>0</v>
      </c>
      <c r="G22" s="9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19"/>
      <c r="I22" s="185"/>
      <c r="J22" s="186"/>
      <c r="K22" s="187"/>
      <c r="L22" s="187"/>
      <c r="M22" s="187"/>
      <c r="N22" s="187"/>
      <c r="O22" s="187"/>
      <c r="P22" s="187"/>
      <c r="Q22" s="188"/>
      <c r="S22" s="11"/>
    </row>
    <row r="23" spans="3:19" ht="15" customHeight="1" x14ac:dyDescent="0.2">
      <c r="C23" s="126" t="str">
        <f t="shared" ref="C23" si="10">CHOOSE(WEEKDAY(D23),"Sunday","Monday","Tuesday","Wednesday","Thursday","Friday","Saturday")</f>
        <v>Monday</v>
      </c>
      <c r="D23" s="177">
        <f t="shared" ref="D23" si="11">D21+1</f>
        <v>45299</v>
      </c>
      <c r="E23" s="57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57">
        <f>IFERROR(IF(E23=0,0,IF('OT Form'!G23="Yes",Sheet2!C18,0)),"")</f>
        <v>0</v>
      </c>
      <c r="G23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20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79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181"/>
      <c r="K23" s="182"/>
      <c r="L23" s="182"/>
      <c r="M23" s="182"/>
      <c r="N23" s="182"/>
      <c r="O23" s="182"/>
      <c r="P23" s="182"/>
      <c r="Q23" s="183"/>
      <c r="S23" s="11"/>
    </row>
    <row r="24" spans="3:19" ht="15" customHeight="1" x14ac:dyDescent="0.2">
      <c r="C24" s="127"/>
      <c r="D24" s="178"/>
      <c r="E24" s="57">
        <f>IFERROR(IF(G24="Yes",Sheet2!B19,0),"")</f>
        <v>0</v>
      </c>
      <c r="F24" s="57">
        <f>IFERROR(IF('OT Form'!G24="Yes",Sheet2!C19,0),"")</f>
        <v>0</v>
      </c>
      <c r="G24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21"/>
      <c r="I24" s="180"/>
      <c r="J24" s="181"/>
      <c r="K24" s="182"/>
      <c r="L24" s="182"/>
      <c r="M24" s="182"/>
      <c r="N24" s="182"/>
      <c r="O24" s="182"/>
      <c r="P24" s="182"/>
      <c r="Q24" s="183"/>
      <c r="S24" s="11"/>
    </row>
    <row r="25" spans="3:19" ht="15" customHeight="1" x14ac:dyDescent="0.2">
      <c r="C25" s="126" t="str">
        <f t="shared" ref="C25" si="12">CHOOSE(WEEKDAY(D25),"Sunday","Monday","Tuesday","Wednesday","Thursday","Friday","Saturday")</f>
        <v>Tuesday</v>
      </c>
      <c r="D25" s="177">
        <f t="shared" ref="D25" si="13">D23+1</f>
        <v>45300</v>
      </c>
      <c r="E25" s="57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57">
        <f>IFERROR(IF(E25=0,0,IF('OT Form'!G25="Yes",Sheet2!C20,0)),"")</f>
        <v>0</v>
      </c>
      <c r="G25" s="34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20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79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181"/>
      <c r="K25" s="182"/>
      <c r="L25" s="182"/>
      <c r="M25" s="182"/>
      <c r="N25" s="182"/>
      <c r="O25" s="182"/>
      <c r="P25" s="182"/>
      <c r="Q25" s="183"/>
      <c r="S25" s="11"/>
    </row>
    <row r="26" spans="3:19" ht="15" customHeight="1" x14ac:dyDescent="0.2">
      <c r="C26" s="127"/>
      <c r="D26" s="178"/>
      <c r="E26" s="57">
        <f>IFERROR(IF(G26="Yes",Sheet2!B21,0),"")</f>
        <v>0</v>
      </c>
      <c r="F26" s="57">
        <f>IFERROR(IF('OT Form'!G26="Yes",Sheet2!C21,0),"")</f>
        <v>0</v>
      </c>
      <c r="G26" s="34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21"/>
      <c r="I26" s="180"/>
      <c r="J26" s="181"/>
      <c r="K26" s="182"/>
      <c r="L26" s="182"/>
      <c r="M26" s="182"/>
      <c r="N26" s="182"/>
      <c r="O26" s="182"/>
      <c r="P26" s="182"/>
      <c r="Q26" s="183"/>
      <c r="S26" s="11"/>
    </row>
    <row r="27" spans="3:19" ht="15" customHeight="1" x14ac:dyDescent="0.2">
      <c r="C27" s="126" t="str">
        <f t="shared" ref="C27" si="14">CHOOSE(WEEKDAY(D27),"Sunday","Monday","Tuesday","Wednesday","Thursday","Friday","Saturday")</f>
        <v>Wednesday</v>
      </c>
      <c r="D27" s="177">
        <f t="shared" ref="D27" si="15">D25+1</f>
        <v>45301</v>
      </c>
      <c r="E27" s="57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57">
        <f>IFERROR(IF(E27=0,0,IF('OT Form'!G27="Yes",Sheet2!C22,0)),"")</f>
        <v>0</v>
      </c>
      <c r="G27" s="34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20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79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181"/>
      <c r="K27" s="182"/>
      <c r="L27" s="182"/>
      <c r="M27" s="182"/>
      <c r="N27" s="182"/>
      <c r="O27" s="182"/>
      <c r="P27" s="182"/>
      <c r="Q27" s="183"/>
      <c r="S27" s="11"/>
    </row>
    <row r="28" spans="3:19" ht="15" customHeight="1" x14ac:dyDescent="0.2">
      <c r="C28" s="127"/>
      <c r="D28" s="178"/>
      <c r="E28" s="57">
        <f>IFERROR(IF(G28="Yes",Sheet2!B23,0),"")</f>
        <v>0</v>
      </c>
      <c r="F28" s="57">
        <f>IFERROR(IF('OT Form'!G28="Yes",Sheet2!C23,0),"")</f>
        <v>0</v>
      </c>
      <c r="G28" s="34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21"/>
      <c r="I28" s="180"/>
      <c r="J28" s="181"/>
      <c r="K28" s="182"/>
      <c r="L28" s="182"/>
      <c r="M28" s="182"/>
      <c r="N28" s="182"/>
      <c r="O28" s="182"/>
      <c r="P28" s="182"/>
      <c r="Q28" s="183"/>
      <c r="S28" s="11"/>
    </row>
    <row r="29" spans="3:19" ht="15" customHeight="1" x14ac:dyDescent="0.2">
      <c r="C29" s="126" t="str">
        <f t="shared" ref="C29" si="16">CHOOSE(WEEKDAY(D29),"Sunday","Monday","Tuesday","Wednesday","Thursday","Friday","Saturday")</f>
        <v>Thursday</v>
      </c>
      <c r="D29" s="177">
        <f t="shared" ref="D29" si="17">D27+1</f>
        <v>45302</v>
      </c>
      <c r="E29" s="57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57">
        <f>IFERROR(IF(E29=0,0,IF('OT Form'!G29="Yes",Sheet2!C24,0)),"")</f>
        <v>0</v>
      </c>
      <c r="G29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20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179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181"/>
      <c r="K29" s="182"/>
      <c r="L29" s="182"/>
      <c r="M29" s="182"/>
      <c r="N29" s="182"/>
      <c r="O29" s="182"/>
      <c r="P29" s="182"/>
      <c r="Q29" s="183"/>
      <c r="S29" s="11"/>
    </row>
    <row r="30" spans="3:19" ht="15" customHeight="1" x14ac:dyDescent="0.2">
      <c r="C30" s="127"/>
      <c r="D30" s="178"/>
      <c r="E30" s="57">
        <f>IFERROR(IF(G30="Yes",Sheet2!B25,0),"")</f>
        <v>0</v>
      </c>
      <c r="F30" s="57">
        <f>IFERROR(IF('OT Form'!G30="Yes",Sheet2!C25,0),"")</f>
        <v>0</v>
      </c>
      <c r="G30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21"/>
      <c r="I30" s="180"/>
      <c r="J30" s="181"/>
      <c r="K30" s="182"/>
      <c r="L30" s="182"/>
      <c r="M30" s="182"/>
      <c r="N30" s="182"/>
      <c r="O30" s="182"/>
      <c r="P30" s="182"/>
      <c r="Q30" s="183"/>
      <c r="S30" s="11"/>
    </row>
    <row r="31" spans="3:19" ht="15" customHeight="1" x14ac:dyDescent="0.2">
      <c r="C31" s="126" t="str">
        <f t="shared" ref="C31" si="18">CHOOSE(WEEKDAY(D31),"Sunday","Monday","Tuesday","Wednesday","Thursday","Friday","Saturday")</f>
        <v>Friday</v>
      </c>
      <c r="D31" s="177">
        <f t="shared" ref="D31" si="19">D29+1</f>
        <v>45303</v>
      </c>
      <c r="E31" s="57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57">
        <f>IFERROR(IF(E31=0,0,IF('OT Form'!G31="Yes",Sheet2!C26,0)),"")</f>
        <v>0</v>
      </c>
      <c r="G31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20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179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181"/>
      <c r="K31" s="182"/>
      <c r="L31" s="182"/>
      <c r="M31" s="182"/>
      <c r="N31" s="182"/>
      <c r="O31" s="182"/>
      <c r="P31" s="182"/>
      <c r="Q31" s="183"/>
      <c r="S31" s="11"/>
    </row>
    <row r="32" spans="3:19" ht="15" customHeight="1" x14ac:dyDescent="0.2">
      <c r="C32" s="127"/>
      <c r="D32" s="178"/>
      <c r="E32" s="57">
        <f>IFERROR(IF(G32="Yes",Sheet2!B27,0),"")</f>
        <v>0</v>
      </c>
      <c r="F32" s="57">
        <f>IFERROR(IF('OT Form'!G32="Yes",Sheet2!C27,0),"")</f>
        <v>0</v>
      </c>
      <c r="G32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21"/>
      <c r="I32" s="180"/>
      <c r="J32" s="181"/>
      <c r="K32" s="182"/>
      <c r="L32" s="182"/>
      <c r="M32" s="182"/>
      <c r="N32" s="182"/>
      <c r="O32" s="182"/>
      <c r="P32" s="182"/>
      <c r="Q32" s="183"/>
      <c r="S32" s="11"/>
    </row>
    <row r="33" spans="3:19" ht="15" customHeight="1" x14ac:dyDescent="0.2">
      <c r="C33" s="128" t="str">
        <f t="shared" ref="C33" si="20">CHOOSE(WEEKDAY(D33),"Sunday","Monday","Tuesday","Wednesday","Thursday","Friday","Saturday")</f>
        <v>Saturday</v>
      </c>
      <c r="D33" s="175">
        <f t="shared" ref="D33" si="21">D31+1</f>
        <v>45304</v>
      </c>
      <c r="E33" s="9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0.33333333333333331</v>
      </c>
      <c r="F33" s="91">
        <f>IFERROR(IF(E33=0,0,IF('OT Form'!G33="Yes",Sheet2!C28,0)),"")</f>
        <v>0.6875</v>
      </c>
      <c r="G33" s="90" t="s">
        <v>59</v>
      </c>
      <c r="H33" s="118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84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9</v>
      </c>
      <c r="J33" s="186" t="s">
        <v>212</v>
      </c>
      <c r="K33" s="187"/>
      <c r="L33" s="187"/>
      <c r="M33" s="187"/>
      <c r="N33" s="187"/>
      <c r="O33" s="187"/>
      <c r="P33" s="187"/>
      <c r="Q33" s="188"/>
      <c r="S33" s="11"/>
    </row>
    <row r="34" spans="3:19" ht="15" customHeight="1" x14ac:dyDescent="0.2">
      <c r="C34" s="129"/>
      <c r="D34" s="176"/>
      <c r="E34" s="91">
        <f>IFERROR(IF(G34="Yes",Sheet2!B29,0),"")</f>
        <v>0</v>
      </c>
      <c r="F34" s="91">
        <f>IFERROR(IF('OT Form'!G34="Yes",Sheet2!C29,0),"")</f>
        <v>0</v>
      </c>
      <c r="G34" s="9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19"/>
      <c r="I34" s="185"/>
      <c r="J34" s="186"/>
      <c r="K34" s="187"/>
      <c r="L34" s="187"/>
      <c r="M34" s="187"/>
      <c r="N34" s="187"/>
      <c r="O34" s="187"/>
      <c r="P34" s="187"/>
      <c r="Q34" s="188"/>
      <c r="S34" s="11"/>
    </row>
    <row r="35" spans="3:19" ht="15" customHeight="1" x14ac:dyDescent="0.2">
      <c r="C35" s="128" t="str">
        <f t="shared" ref="C35" si="22">CHOOSE(WEEKDAY(D35),"Sunday","Monday","Tuesday","Wednesday","Thursday","Friday","Saturday")</f>
        <v>Sunday</v>
      </c>
      <c r="D35" s="175">
        <f t="shared" ref="D35" si="23">D33+1</f>
        <v>45305</v>
      </c>
      <c r="E35" s="9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0.33333333333333331</v>
      </c>
      <c r="F35" s="91">
        <f>IFERROR(IF(E35=0,0,IF('OT Form'!G35="Yes",Sheet2!C30,0)),"")</f>
        <v>0.6875</v>
      </c>
      <c r="G35" s="90" t="s">
        <v>59</v>
      </c>
      <c r="H35" s="118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84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9</v>
      </c>
      <c r="J35" s="186" t="s">
        <v>212</v>
      </c>
      <c r="K35" s="187"/>
      <c r="L35" s="187"/>
      <c r="M35" s="187"/>
      <c r="N35" s="187"/>
      <c r="O35" s="187"/>
      <c r="P35" s="187"/>
      <c r="Q35" s="188"/>
      <c r="S35" s="11"/>
    </row>
    <row r="36" spans="3:19" ht="15" customHeight="1" x14ac:dyDescent="0.2">
      <c r="C36" s="129"/>
      <c r="D36" s="176"/>
      <c r="E36" s="91">
        <f>IFERROR(IF(G36="Yes",Sheet2!B31,0),"")</f>
        <v>0</v>
      </c>
      <c r="F36" s="91">
        <f>IFERROR(IF('OT Form'!G36="Yes",Sheet2!C31,0),"")</f>
        <v>0</v>
      </c>
      <c r="G36" s="90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19"/>
      <c r="I36" s="185"/>
      <c r="J36" s="186"/>
      <c r="K36" s="187"/>
      <c r="L36" s="187"/>
      <c r="M36" s="187"/>
      <c r="N36" s="187"/>
      <c r="O36" s="187"/>
      <c r="P36" s="187"/>
      <c r="Q36" s="188"/>
      <c r="S36" s="11"/>
    </row>
    <row r="37" spans="3:19" ht="15" customHeight="1" x14ac:dyDescent="0.2">
      <c r="C37" s="126" t="str">
        <f t="shared" ref="C37" si="24">CHOOSE(WEEKDAY(D37),"Sunday","Monday","Tuesday","Wednesday","Thursday","Friday","Saturday")</f>
        <v>Monday</v>
      </c>
      <c r="D37" s="177">
        <f t="shared" ref="D37" si="25">D35+1</f>
        <v>45306</v>
      </c>
      <c r="E37" s="57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57">
        <f>IFERROR(IF(E37=0,0,IF('OT Form'!G37="Yes",Sheet2!C32,0)),"")</f>
        <v>0</v>
      </c>
      <c r="G37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20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79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181"/>
      <c r="K37" s="182"/>
      <c r="L37" s="182"/>
      <c r="M37" s="182"/>
      <c r="N37" s="182"/>
      <c r="O37" s="182"/>
      <c r="P37" s="182"/>
      <c r="Q37" s="183"/>
      <c r="S37" s="11"/>
    </row>
    <row r="38" spans="3:19" ht="15" customHeight="1" x14ac:dyDescent="0.2">
      <c r="C38" s="127"/>
      <c r="D38" s="178"/>
      <c r="E38" s="57">
        <f>IFERROR(IF(G38="Yes",Sheet2!B33,0),"")</f>
        <v>0</v>
      </c>
      <c r="F38" s="57">
        <f>IFERROR(IF('OT Form'!G38="Yes",Sheet2!C33,0),"")</f>
        <v>0</v>
      </c>
      <c r="G38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21"/>
      <c r="I38" s="180"/>
      <c r="J38" s="181"/>
      <c r="K38" s="182"/>
      <c r="L38" s="182"/>
      <c r="M38" s="182"/>
      <c r="N38" s="182"/>
      <c r="O38" s="182"/>
      <c r="P38" s="182"/>
      <c r="Q38" s="183"/>
      <c r="S38" s="11"/>
    </row>
    <row r="39" spans="3:19" ht="15" customHeight="1" x14ac:dyDescent="0.2">
      <c r="C39" s="126" t="str">
        <f t="shared" ref="C39" si="26">CHOOSE(WEEKDAY(D39),"Sunday","Monday","Tuesday","Wednesday","Thursday","Friday","Saturday")</f>
        <v>Tuesday</v>
      </c>
      <c r="D39" s="177">
        <f t="shared" ref="D39" si="27">D37+1</f>
        <v>45307</v>
      </c>
      <c r="E39" s="57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57">
        <f>IFERROR(IF(E39=0,0,IF('OT Form'!G39="Yes",Sheet2!C34,0)),"")</f>
        <v>0</v>
      </c>
      <c r="G39" s="34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20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79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181"/>
      <c r="K39" s="182"/>
      <c r="L39" s="182"/>
      <c r="M39" s="182"/>
      <c r="N39" s="182"/>
      <c r="O39" s="182"/>
      <c r="P39" s="182"/>
      <c r="Q39" s="183"/>
      <c r="S39" s="11"/>
    </row>
    <row r="40" spans="3:19" ht="15" customHeight="1" x14ac:dyDescent="0.2">
      <c r="C40" s="127"/>
      <c r="D40" s="178"/>
      <c r="E40" s="57">
        <f>IFERROR(IF(G40="Yes",Sheet2!B35,0),"")</f>
        <v>0</v>
      </c>
      <c r="F40" s="57">
        <f>IFERROR(IF('OT Form'!G40="Yes",Sheet2!C35,0),"")</f>
        <v>0</v>
      </c>
      <c r="G40" s="34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21"/>
      <c r="I40" s="180"/>
      <c r="J40" s="181"/>
      <c r="K40" s="182"/>
      <c r="L40" s="182"/>
      <c r="M40" s="182"/>
      <c r="N40" s="182"/>
      <c r="O40" s="182"/>
      <c r="P40" s="182"/>
      <c r="Q40" s="183"/>
      <c r="S40" s="11"/>
    </row>
    <row r="41" spans="3:19" ht="15" customHeight="1" x14ac:dyDescent="0.2">
      <c r="C41" s="126" t="str">
        <f t="shared" ref="C41" si="28">CHOOSE(WEEKDAY(D41),"Sunday","Monday","Tuesday","Wednesday","Thursday","Friday","Saturday")</f>
        <v>Wednesday</v>
      </c>
      <c r="D41" s="177">
        <f t="shared" ref="D41" si="29">D39+1</f>
        <v>45308</v>
      </c>
      <c r="E41" s="57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57">
        <f>IFERROR(IF(E41=0,0,IF('OT Form'!G41="Yes",Sheet2!C36,0)),"")</f>
        <v>0</v>
      </c>
      <c r="G41" s="34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20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79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181"/>
      <c r="K41" s="182"/>
      <c r="L41" s="182"/>
      <c r="M41" s="182"/>
      <c r="N41" s="182"/>
      <c r="O41" s="182"/>
      <c r="P41" s="182"/>
      <c r="Q41" s="183"/>
      <c r="S41" s="11"/>
    </row>
    <row r="42" spans="3:19" ht="15" customHeight="1" x14ac:dyDescent="0.2">
      <c r="C42" s="127"/>
      <c r="D42" s="178"/>
      <c r="E42" s="57">
        <f>IFERROR(IF(G42="Yes",Sheet2!B37,0),"")</f>
        <v>0</v>
      </c>
      <c r="F42" s="57">
        <f>IFERROR(IF('OT Form'!G42="Yes",Sheet2!C37,0),"")</f>
        <v>0</v>
      </c>
      <c r="G42" s="34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21"/>
      <c r="I42" s="180"/>
      <c r="J42" s="181"/>
      <c r="K42" s="182"/>
      <c r="L42" s="182"/>
      <c r="M42" s="182"/>
      <c r="N42" s="182"/>
      <c r="O42" s="182"/>
      <c r="P42" s="182"/>
      <c r="Q42" s="183"/>
      <c r="S42" s="11"/>
    </row>
    <row r="43" spans="3:19" ht="15" customHeight="1" x14ac:dyDescent="0.2">
      <c r="C43" s="126" t="str">
        <f t="shared" ref="C43" si="30">CHOOSE(WEEKDAY(D43),"Sunday","Monday","Tuesday","Wednesday","Thursday","Friday","Saturday")</f>
        <v>Thursday</v>
      </c>
      <c r="D43" s="177">
        <f t="shared" ref="D43" si="31">D41+1</f>
        <v>45309</v>
      </c>
      <c r="E43" s="57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57">
        <f>IFERROR(IF(E43=0,0,IF('OT Form'!G43="Yes",Sheet2!C38,0)),"")</f>
        <v>0</v>
      </c>
      <c r="G43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20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79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181"/>
      <c r="K43" s="182"/>
      <c r="L43" s="182"/>
      <c r="M43" s="182"/>
      <c r="N43" s="182"/>
      <c r="O43" s="182"/>
      <c r="P43" s="182"/>
      <c r="Q43" s="183"/>
      <c r="S43" s="11"/>
    </row>
    <row r="44" spans="3:19" ht="15" customHeight="1" x14ac:dyDescent="0.2">
      <c r="C44" s="127"/>
      <c r="D44" s="178"/>
      <c r="E44" s="57">
        <f>IFERROR(IF(G44="Yes",Sheet2!B39,0),"")</f>
        <v>0</v>
      </c>
      <c r="F44" s="57">
        <f>IFERROR(IF('OT Form'!G44="Yes",Sheet2!C39,0),"")</f>
        <v>0</v>
      </c>
      <c r="G44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21"/>
      <c r="I44" s="180"/>
      <c r="J44" s="181"/>
      <c r="K44" s="182"/>
      <c r="L44" s="182"/>
      <c r="M44" s="182"/>
      <c r="N44" s="182"/>
      <c r="O44" s="182"/>
      <c r="P44" s="182"/>
      <c r="Q44" s="183"/>
      <c r="S44" s="11"/>
    </row>
    <row r="45" spans="3:19" ht="15" customHeight="1" x14ac:dyDescent="0.2">
      <c r="C45" s="126" t="str">
        <f t="shared" ref="C45" si="32">CHOOSE(WEEKDAY(D45),"Sunday","Monday","Tuesday","Wednesday","Thursday","Friday","Saturday")</f>
        <v>Friday</v>
      </c>
      <c r="D45" s="177">
        <f t="shared" ref="D45" si="33">D43+1</f>
        <v>45310</v>
      </c>
      <c r="E45" s="57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57">
        <f>IFERROR(IF(E45=0,0,IF('OT Form'!G45="Yes",Sheet2!C40,0)),"")</f>
        <v>0</v>
      </c>
      <c r="G45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20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79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181"/>
      <c r="K45" s="182"/>
      <c r="L45" s="182"/>
      <c r="M45" s="182"/>
      <c r="N45" s="182"/>
      <c r="O45" s="182"/>
      <c r="P45" s="182"/>
      <c r="Q45" s="183"/>
      <c r="S45" s="11"/>
    </row>
    <row r="46" spans="3:19" ht="15" customHeight="1" x14ac:dyDescent="0.2">
      <c r="C46" s="127"/>
      <c r="D46" s="178"/>
      <c r="E46" s="57">
        <f>IFERROR(IF(G46="Yes",Sheet2!B41,0),"")</f>
        <v>0</v>
      </c>
      <c r="F46" s="57">
        <f>IFERROR(IF('OT Form'!G46="Yes",Sheet2!C41,0),"")</f>
        <v>0</v>
      </c>
      <c r="G46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21"/>
      <c r="I46" s="180"/>
      <c r="J46" s="181"/>
      <c r="K46" s="182"/>
      <c r="L46" s="182"/>
      <c r="M46" s="182"/>
      <c r="N46" s="182"/>
      <c r="O46" s="182"/>
      <c r="P46" s="182"/>
      <c r="Q46" s="183"/>
      <c r="S46" s="11"/>
    </row>
    <row r="47" spans="3:19" ht="15" customHeight="1" x14ac:dyDescent="0.2">
      <c r="C47" s="128" t="str">
        <f t="shared" ref="C47" si="34">CHOOSE(WEEKDAY(D47),"Sunday","Monday","Tuesday","Wednesday","Thursday","Friday","Saturday")</f>
        <v>Saturday</v>
      </c>
      <c r="D47" s="175">
        <f t="shared" ref="D47" si="35">D45+1</f>
        <v>45311</v>
      </c>
      <c r="E47" s="9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91">
        <f>IFERROR(IF(E47=0,0,IF('OT Form'!G47="Yes",Sheet2!C42,0)),"")</f>
        <v>0</v>
      </c>
      <c r="G47" s="9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18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84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186"/>
      <c r="K47" s="187"/>
      <c r="L47" s="187"/>
      <c r="M47" s="187"/>
      <c r="N47" s="187"/>
      <c r="O47" s="187"/>
      <c r="P47" s="187"/>
      <c r="Q47" s="188"/>
      <c r="S47" s="11"/>
    </row>
    <row r="48" spans="3:19" ht="15" customHeight="1" x14ac:dyDescent="0.2">
      <c r="C48" s="129"/>
      <c r="D48" s="176"/>
      <c r="E48" s="91">
        <f>IFERROR(IF(G48="Yes",Sheet2!B43,0),"")</f>
        <v>0</v>
      </c>
      <c r="F48" s="91">
        <f>IFERROR(IF('OT Form'!G48="Yes",Sheet2!C43,0),"")</f>
        <v>0</v>
      </c>
      <c r="G48" s="9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19"/>
      <c r="I48" s="185"/>
      <c r="J48" s="186"/>
      <c r="K48" s="187"/>
      <c r="L48" s="187"/>
      <c r="M48" s="187"/>
      <c r="N48" s="187"/>
      <c r="O48" s="187"/>
      <c r="P48" s="187"/>
      <c r="Q48" s="188"/>
      <c r="S48" s="11"/>
    </row>
    <row r="49" spans="3:19" ht="15" customHeight="1" x14ac:dyDescent="0.2">
      <c r="C49" s="128" t="str">
        <f t="shared" ref="C49" si="36">CHOOSE(WEEKDAY(D49),"Sunday","Monday","Tuesday","Wednesday","Thursday","Friday","Saturday")</f>
        <v>Sunday</v>
      </c>
      <c r="D49" s="175">
        <f t="shared" ref="D49" si="37">D47+1</f>
        <v>45312</v>
      </c>
      <c r="E49" s="9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91">
        <f>IFERROR(IF(E49=0,0,IF('OT Form'!G49="Yes",Sheet2!C44,0)),"")</f>
        <v>0</v>
      </c>
      <c r="G49" s="9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18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84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186"/>
      <c r="K49" s="187"/>
      <c r="L49" s="187"/>
      <c r="M49" s="187"/>
      <c r="N49" s="187"/>
      <c r="O49" s="187"/>
      <c r="P49" s="187"/>
      <c r="Q49" s="188"/>
      <c r="S49" s="11"/>
    </row>
    <row r="50" spans="3:19" ht="15" customHeight="1" x14ac:dyDescent="0.2">
      <c r="C50" s="129"/>
      <c r="D50" s="176"/>
      <c r="E50" s="91">
        <f>IFERROR(IF(G50="Yes",Sheet2!B45,0),"")</f>
        <v>0</v>
      </c>
      <c r="F50" s="91">
        <f>IFERROR(IF('OT Form'!G50="Yes",Sheet2!C45,0),"")</f>
        <v>0</v>
      </c>
      <c r="G50" s="9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19"/>
      <c r="I50" s="185"/>
      <c r="J50" s="186"/>
      <c r="K50" s="187"/>
      <c r="L50" s="187"/>
      <c r="M50" s="187"/>
      <c r="N50" s="187"/>
      <c r="O50" s="187"/>
      <c r="P50" s="187"/>
      <c r="Q50" s="188"/>
      <c r="S50" s="11"/>
    </row>
    <row r="51" spans="3:19" ht="15" customHeight="1" x14ac:dyDescent="0.2">
      <c r="C51" s="126" t="str">
        <f t="shared" ref="C51" si="38">CHOOSE(WEEKDAY(D51),"Sunday","Monday","Tuesday","Wednesday","Thursday","Friday","Saturday")</f>
        <v>Monday</v>
      </c>
      <c r="D51" s="177">
        <f t="shared" ref="D51" si="39">D49+1</f>
        <v>45313</v>
      </c>
      <c r="E51" s="57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57">
        <f>IFERROR(IF(E51=0,0,IF('OT Form'!G51="Yes",Sheet2!C46,0)),"")</f>
        <v>0</v>
      </c>
      <c r="G51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20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79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181"/>
      <c r="K51" s="182"/>
      <c r="L51" s="182"/>
      <c r="M51" s="182"/>
      <c r="N51" s="182"/>
      <c r="O51" s="182"/>
      <c r="P51" s="182"/>
      <c r="Q51" s="183"/>
      <c r="S51" s="11"/>
    </row>
    <row r="52" spans="3:19" ht="15" customHeight="1" x14ac:dyDescent="0.2">
      <c r="C52" s="127"/>
      <c r="D52" s="178"/>
      <c r="E52" s="57">
        <f>IFERROR(IF(G52="Yes",Sheet2!B47,0),"")</f>
        <v>0</v>
      </c>
      <c r="F52" s="57">
        <f>IFERROR(IF('OT Form'!G52="Yes",Sheet2!C47,0),"")</f>
        <v>0</v>
      </c>
      <c r="G52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21"/>
      <c r="I52" s="180"/>
      <c r="J52" s="181"/>
      <c r="K52" s="182"/>
      <c r="L52" s="182"/>
      <c r="M52" s="182"/>
      <c r="N52" s="182"/>
      <c r="O52" s="182"/>
      <c r="P52" s="182"/>
      <c r="Q52" s="183"/>
      <c r="S52" s="11"/>
    </row>
    <row r="53" spans="3:19" ht="15" customHeight="1" x14ac:dyDescent="0.2">
      <c r="C53" s="126" t="str">
        <f t="shared" ref="C53" si="40">CHOOSE(WEEKDAY(D53),"Sunday","Monday","Tuesday","Wednesday","Thursday","Friday","Saturday")</f>
        <v>Tuesday</v>
      </c>
      <c r="D53" s="177">
        <f t="shared" ref="D53" si="41">D51+1</f>
        <v>45314</v>
      </c>
      <c r="E53" s="57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57">
        <f>IFERROR(IF(E53=0,0,IF('OT Form'!G53="Yes",Sheet2!C48,0)),"")</f>
        <v>0</v>
      </c>
      <c r="G53" s="34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20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79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181"/>
      <c r="K53" s="182"/>
      <c r="L53" s="182"/>
      <c r="M53" s="182"/>
      <c r="N53" s="182"/>
      <c r="O53" s="182"/>
      <c r="P53" s="182"/>
      <c r="Q53" s="183"/>
      <c r="S53" s="11"/>
    </row>
    <row r="54" spans="3:19" ht="15" customHeight="1" x14ac:dyDescent="0.2">
      <c r="C54" s="127"/>
      <c r="D54" s="178"/>
      <c r="E54" s="57">
        <f>IFERROR(IF(G54="Yes",Sheet2!B49,0),"")</f>
        <v>0</v>
      </c>
      <c r="F54" s="57">
        <f>IFERROR(IF('OT Form'!G54="Yes",Sheet2!C49,0),"")</f>
        <v>0</v>
      </c>
      <c r="G54" s="34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21"/>
      <c r="I54" s="180"/>
      <c r="J54" s="181"/>
      <c r="K54" s="182"/>
      <c r="L54" s="182"/>
      <c r="M54" s="182"/>
      <c r="N54" s="182"/>
      <c r="O54" s="182"/>
      <c r="P54" s="182"/>
      <c r="Q54" s="183"/>
      <c r="S54" s="11"/>
    </row>
    <row r="55" spans="3:19" ht="15" customHeight="1" x14ac:dyDescent="0.2">
      <c r="C55" s="126" t="str">
        <f t="shared" ref="C55" si="42">CHOOSE(WEEKDAY(D55),"Sunday","Monday","Tuesday","Wednesday","Thursday","Friday","Saturday")</f>
        <v>Wednesday</v>
      </c>
      <c r="D55" s="177">
        <f t="shared" ref="D55" si="43">D53+1</f>
        <v>45315</v>
      </c>
      <c r="E55" s="57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57">
        <f>IFERROR(IF(E55=0,0,IF('OT Form'!G55="Yes",Sheet2!C50,0)),"")</f>
        <v>0</v>
      </c>
      <c r="G55" s="34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20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79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181"/>
      <c r="K55" s="182"/>
      <c r="L55" s="182"/>
      <c r="M55" s="182"/>
      <c r="N55" s="182"/>
      <c r="O55" s="182"/>
      <c r="P55" s="182"/>
      <c r="Q55" s="183"/>
      <c r="S55" s="11"/>
    </row>
    <row r="56" spans="3:19" ht="15" customHeight="1" x14ac:dyDescent="0.2">
      <c r="C56" s="127"/>
      <c r="D56" s="178"/>
      <c r="E56" s="57">
        <f>IFERROR(IF(G56="Yes",Sheet2!B51,0),"")</f>
        <v>0</v>
      </c>
      <c r="F56" s="57">
        <f>IFERROR(IF('OT Form'!G56="Yes",Sheet2!C51,0),"")</f>
        <v>0</v>
      </c>
      <c r="G56" s="34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21"/>
      <c r="I56" s="180"/>
      <c r="J56" s="181"/>
      <c r="K56" s="182"/>
      <c r="L56" s="182"/>
      <c r="M56" s="182"/>
      <c r="N56" s="182"/>
      <c r="O56" s="182"/>
      <c r="P56" s="182"/>
      <c r="Q56" s="183"/>
      <c r="S56" s="11"/>
    </row>
    <row r="57" spans="3:19" ht="15" customHeight="1" x14ac:dyDescent="0.2">
      <c r="C57" s="126" t="str">
        <f t="shared" ref="C57" si="44">CHOOSE(WEEKDAY(D57),"Sunday","Monday","Tuesday","Wednesday","Thursday","Friday","Saturday")</f>
        <v>Thursday</v>
      </c>
      <c r="D57" s="177">
        <f t="shared" ref="D57" si="45">D55+1</f>
        <v>45316</v>
      </c>
      <c r="E57" s="57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57">
        <f>IFERROR(IF(E57=0,0,IF('OT Form'!G57="Yes",Sheet2!C52,0)),"")</f>
        <v>0</v>
      </c>
      <c r="G57" s="34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20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79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181"/>
      <c r="K57" s="182"/>
      <c r="L57" s="182"/>
      <c r="M57" s="182"/>
      <c r="N57" s="182"/>
      <c r="O57" s="182"/>
      <c r="P57" s="182"/>
      <c r="Q57" s="183"/>
      <c r="S57" s="11"/>
    </row>
    <row r="58" spans="3:19" ht="15" customHeight="1" x14ac:dyDescent="0.2">
      <c r="C58" s="127"/>
      <c r="D58" s="178"/>
      <c r="E58" s="57">
        <f>IFERROR(IF(G58="Yes",Sheet2!B53,0),"")</f>
        <v>0</v>
      </c>
      <c r="F58" s="57">
        <f>IFERROR(IF('OT Form'!G58="Yes",Sheet2!C53,0),"")</f>
        <v>0</v>
      </c>
      <c r="G58" s="34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21"/>
      <c r="I58" s="180"/>
      <c r="J58" s="181"/>
      <c r="K58" s="182"/>
      <c r="L58" s="182"/>
      <c r="M58" s="182"/>
      <c r="N58" s="182"/>
      <c r="O58" s="182"/>
      <c r="P58" s="182"/>
      <c r="Q58" s="183"/>
      <c r="S58" s="11"/>
    </row>
    <row r="59" spans="3:19" ht="15" customHeight="1" x14ac:dyDescent="0.2">
      <c r="C59" s="126" t="str">
        <f t="shared" ref="C59" si="46">CHOOSE(WEEKDAY(D59),"Sunday","Monday","Tuesday","Wednesday","Thursday","Friday","Saturday")</f>
        <v>Friday</v>
      </c>
      <c r="D59" s="177">
        <f t="shared" ref="D59" si="47">D57+1</f>
        <v>45317</v>
      </c>
      <c r="E59" s="57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57">
        <f>IFERROR(IF(E59=0,0,IF('OT Form'!G59="Yes",Sheet2!C54,0)),"")</f>
        <v>0</v>
      </c>
      <c r="G59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20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79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181"/>
      <c r="K59" s="182"/>
      <c r="L59" s="182"/>
      <c r="M59" s="182"/>
      <c r="N59" s="182"/>
      <c r="O59" s="182"/>
      <c r="P59" s="182"/>
      <c r="Q59" s="183"/>
      <c r="S59" s="11"/>
    </row>
    <row r="60" spans="3:19" ht="15" customHeight="1" x14ac:dyDescent="0.2">
      <c r="C60" s="127"/>
      <c r="D60" s="178"/>
      <c r="E60" s="57">
        <f>IFERROR(IF(G60="Yes",Sheet2!B55,0),"")</f>
        <v>0</v>
      </c>
      <c r="F60" s="57">
        <f>IFERROR(IF('OT Form'!G60="Yes",Sheet2!C55,0),"")</f>
        <v>0</v>
      </c>
      <c r="G60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21"/>
      <c r="I60" s="180"/>
      <c r="J60" s="181"/>
      <c r="K60" s="182"/>
      <c r="L60" s="182"/>
      <c r="M60" s="182"/>
      <c r="N60" s="182"/>
      <c r="O60" s="182"/>
      <c r="P60" s="182"/>
      <c r="Q60" s="183"/>
      <c r="S60" s="11"/>
    </row>
    <row r="61" spans="3:19" ht="15" customHeight="1" x14ac:dyDescent="0.2">
      <c r="C61" s="128" t="str">
        <f t="shared" ref="C61" si="48">CHOOSE(WEEKDAY(D61),"Sunday","Monday","Tuesday","Wednesday","Thursday","Friday","Saturday")</f>
        <v>Saturday</v>
      </c>
      <c r="D61" s="175">
        <f t="shared" ref="D61" si="49">D59+1</f>
        <v>45318</v>
      </c>
      <c r="E61" s="9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91">
        <f>IFERROR(IF(E61=0,0,IF('OT Form'!G61="Yes",Sheet2!C56,0)),"")</f>
        <v>0</v>
      </c>
      <c r="G61" s="9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18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84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186"/>
      <c r="K61" s="187"/>
      <c r="L61" s="187"/>
      <c r="M61" s="187"/>
      <c r="N61" s="187"/>
      <c r="O61" s="187"/>
      <c r="P61" s="187"/>
      <c r="Q61" s="188"/>
      <c r="S61" s="11"/>
    </row>
    <row r="62" spans="3:19" ht="15" customHeight="1" x14ac:dyDescent="0.2">
      <c r="C62" s="129"/>
      <c r="D62" s="176"/>
      <c r="E62" s="91">
        <f>IFERROR(IF(G62="Yes",Sheet2!B57,0),"")</f>
        <v>0</v>
      </c>
      <c r="F62" s="91">
        <f>IFERROR(IF('OT Form'!G62="Yes",Sheet2!C57,0),"")</f>
        <v>0</v>
      </c>
      <c r="G62" s="9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19"/>
      <c r="I62" s="185"/>
      <c r="J62" s="186"/>
      <c r="K62" s="187"/>
      <c r="L62" s="187"/>
      <c r="M62" s="187"/>
      <c r="N62" s="187"/>
      <c r="O62" s="187"/>
      <c r="P62" s="187"/>
      <c r="Q62" s="188"/>
      <c r="S62" s="11"/>
    </row>
    <row r="63" spans="3:19" ht="15" customHeight="1" x14ac:dyDescent="0.2">
      <c r="C63" s="128" t="str">
        <f t="shared" ref="C63" si="50">CHOOSE(WEEKDAY(D63),"Sunday","Monday","Tuesday","Wednesday","Thursday","Friday","Saturday")</f>
        <v>Sunday</v>
      </c>
      <c r="D63" s="175">
        <f t="shared" ref="D63" si="51">D61+1</f>
        <v>45319</v>
      </c>
      <c r="E63" s="9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91">
        <f>IFERROR(IF(E63=0,0,IF('OT Form'!G63="Yes",Sheet2!C58,0)),"")</f>
        <v>0</v>
      </c>
      <c r="G63" s="9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18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84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186"/>
      <c r="K63" s="187"/>
      <c r="L63" s="187"/>
      <c r="M63" s="187"/>
      <c r="N63" s="187"/>
      <c r="O63" s="187"/>
      <c r="P63" s="187"/>
      <c r="Q63" s="188"/>
      <c r="S63" s="11"/>
    </row>
    <row r="64" spans="3:19" ht="15" customHeight="1" x14ac:dyDescent="0.2">
      <c r="C64" s="129"/>
      <c r="D64" s="176"/>
      <c r="E64" s="91">
        <f>IFERROR(IF(G64="Yes",Sheet2!B59,0),"")</f>
        <v>0</v>
      </c>
      <c r="F64" s="91">
        <f>IFERROR(IF('OT Form'!G64="Yes",Sheet2!C59,0),"")</f>
        <v>0</v>
      </c>
      <c r="G64" s="9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19"/>
      <c r="I64" s="185"/>
      <c r="J64" s="186"/>
      <c r="K64" s="187"/>
      <c r="L64" s="187"/>
      <c r="M64" s="187"/>
      <c r="N64" s="187"/>
      <c r="O64" s="187"/>
      <c r="P64" s="187"/>
      <c r="Q64" s="188"/>
      <c r="S64" s="11"/>
    </row>
    <row r="65" spans="2:20" ht="15" customHeight="1" x14ac:dyDescent="0.2">
      <c r="C65" s="126" t="str">
        <f t="shared" ref="C65" si="52">CHOOSE(WEEKDAY(D65),"Sunday","Monday","Tuesday","Wednesday","Thursday","Friday","Saturday")</f>
        <v>Monday</v>
      </c>
      <c r="D65" s="177">
        <f t="shared" ref="D65:D69" si="53">D63+1</f>
        <v>45320</v>
      </c>
      <c r="E65" s="57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57">
        <f>IFERROR(IF(E65=0,0,IF('OT Form'!G65="Yes",Sheet2!C60,0)),"")</f>
        <v>0</v>
      </c>
      <c r="G65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20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79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181"/>
      <c r="K65" s="182"/>
      <c r="L65" s="182"/>
      <c r="M65" s="182"/>
      <c r="N65" s="182"/>
      <c r="O65" s="182"/>
      <c r="P65" s="182"/>
      <c r="Q65" s="183"/>
      <c r="S65" s="11"/>
    </row>
    <row r="66" spans="2:20" ht="15" customHeight="1" x14ac:dyDescent="0.2">
      <c r="C66" s="127"/>
      <c r="D66" s="178"/>
      <c r="E66" s="57">
        <f>IFERROR(IF(G66="Yes",Sheet2!B61,0),"")</f>
        <v>0</v>
      </c>
      <c r="F66" s="57">
        <f>IFERROR(IF('OT Form'!G66="Yes",Sheet2!C61,0),"")</f>
        <v>0</v>
      </c>
      <c r="G66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21"/>
      <c r="I66" s="180"/>
      <c r="J66" s="181"/>
      <c r="K66" s="182"/>
      <c r="L66" s="182"/>
      <c r="M66" s="182"/>
      <c r="N66" s="182"/>
      <c r="O66" s="182"/>
      <c r="P66" s="182"/>
      <c r="Q66" s="183"/>
      <c r="S66" s="11"/>
    </row>
    <row r="67" spans="2:20" ht="15" customHeight="1" x14ac:dyDescent="0.2">
      <c r="C67" s="126" t="str">
        <f t="shared" ref="C67" si="54">CHOOSE(WEEKDAY(D67),"Sunday","Monday","Tuesday","Wednesday","Thursday","Friday","Saturday")</f>
        <v>Tuesday</v>
      </c>
      <c r="D67" s="177">
        <f t="shared" si="53"/>
        <v>45321</v>
      </c>
      <c r="E67" s="57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57">
        <f>IFERROR(IF(E67=0,0,IF('OT Form'!G67="Yes",Sheet2!C62,0)),"")</f>
        <v>0</v>
      </c>
      <c r="G67" s="34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20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79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181"/>
      <c r="K67" s="182"/>
      <c r="L67" s="182"/>
      <c r="M67" s="182"/>
      <c r="N67" s="182"/>
      <c r="O67" s="182"/>
      <c r="P67" s="182"/>
      <c r="Q67" s="183"/>
      <c r="S67" s="11"/>
    </row>
    <row r="68" spans="2:20" ht="15" customHeight="1" x14ac:dyDescent="0.2">
      <c r="C68" s="127"/>
      <c r="D68" s="178"/>
      <c r="E68" s="57">
        <f>IFERROR(IF(G68="Yes",Sheet2!B63,0),"")</f>
        <v>0</v>
      </c>
      <c r="F68" s="57">
        <f>IFERROR(IF('OT Form'!G68="Yes",Sheet2!C63,0),"")</f>
        <v>0</v>
      </c>
      <c r="G68" s="34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21"/>
      <c r="I68" s="180"/>
      <c r="J68" s="181"/>
      <c r="K68" s="182"/>
      <c r="L68" s="182"/>
      <c r="M68" s="182"/>
      <c r="N68" s="182"/>
      <c r="O68" s="182"/>
      <c r="P68" s="182"/>
      <c r="Q68" s="183"/>
      <c r="S68" s="11"/>
    </row>
    <row r="69" spans="2:20" ht="17" x14ac:dyDescent="0.2">
      <c r="C69" s="126" t="str">
        <f t="shared" ref="C69" si="55">CHOOSE(WEEKDAY(D69),"Sunday","Monday","Tuesday","Wednesday","Thursday","Friday","Saturday")</f>
        <v>Wednesday</v>
      </c>
      <c r="D69" s="177">
        <f t="shared" si="53"/>
        <v>45322</v>
      </c>
      <c r="E69" s="57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57">
        <f>IFERROR(IF(E69=0,0,IF('OT Form'!G69="Yes",Sheet2!C64,0)),"")</f>
        <v>0</v>
      </c>
      <c r="G69" s="34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20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79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181"/>
      <c r="K69" s="182"/>
      <c r="L69" s="182"/>
      <c r="M69" s="182"/>
      <c r="N69" s="182"/>
      <c r="O69" s="182"/>
      <c r="P69" s="182"/>
      <c r="Q69" s="183"/>
      <c r="S69" s="11"/>
    </row>
    <row r="70" spans="2:20" ht="15" customHeight="1" x14ac:dyDescent="0.2">
      <c r="C70" s="127"/>
      <c r="D70" s="178"/>
      <c r="E70" s="57">
        <f>IFERROR(IF(G70="Yes",Sheet2!B65,0),"")</f>
        <v>0</v>
      </c>
      <c r="F70" s="57">
        <f>IFERROR(IF('OT Form'!G70="Yes",Sheet2!C65,0),"")</f>
        <v>0</v>
      </c>
      <c r="G70" s="34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21"/>
      <c r="I70" s="180"/>
      <c r="J70" s="181"/>
      <c r="K70" s="182"/>
      <c r="L70" s="182"/>
      <c r="M70" s="182"/>
      <c r="N70" s="182"/>
      <c r="O70" s="182"/>
      <c r="P70" s="182"/>
      <c r="Q70" s="183"/>
      <c r="S70" s="11"/>
    </row>
    <row r="71" spans="2:20" ht="18" customHeight="1" x14ac:dyDescent="0.2">
      <c r="B71" s="18"/>
      <c r="C71" s="19"/>
      <c r="D71" s="25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</row>
    <row r="72" spans="2:20" ht="15" customHeight="1" x14ac:dyDescent="0.2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</row>
    <row r="73" spans="2:20" ht="15" customHeight="1" x14ac:dyDescent="0.2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</row>
    <row r="74" spans="2:20" ht="110.25" customHeight="1" x14ac:dyDescent="0.2">
      <c r="B74" s="18"/>
      <c r="E74" s="169" t="s">
        <v>136</v>
      </c>
      <c r="F74" s="171"/>
      <c r="G74" s="169" t="s">
        <v>137</v>
      </c>
      <c r="H74" s="171"/>
      <c r="I74" s="169" t="s">
        <v>138</v>
      </c>
      <c r="J74" s="171"/>
      <c r="K74" s="169" t="s">
        <v>139</v>
      </c>
      <c r="L74" s="171"/>
    </row>
    <row r="75" spans="2:20" ht="15" customHeight="1" x14ac:dyDescent="0.2">
      <c r="B75" s="18"/>
      <c r="E75" s="195">
        <f>SUM(H9:H70)</f>
        <v>0</v>
      </c>
      <c r="F75" s="196"/>
      <c r="G75" s="195">
        <f>COUNTIF(H9:H70,"&gt;0")</f>
        <v>0</v>
      </c>
      <c r="H75" s="196"/>
      <c r="I75" s="195">
        <f>SUM(I9:I70)</f>
        <v>18</v>
      </c>
      <c r="J75" s="196"/>
      <c r="K75" s="195">
        <f>COUNTIF(I9:I70,"&gt;0")</f>
        <v>2</v>
      </c>
      <c r="L75" s="196"/>
    </row>
    <row r="76" spans="2:20" ht="15" customHeight="1" x14ac:dyDescent="0.2">
      <c r="B76" s="18"/>
      <c r="E76" s="197"/>
      <c r="F76" s="198"/>
      <c r="G76" s="197"/>
      <c r="H76" s="198"/>
      <c r="I76" s="197"/>
      <c r="J76" s="198"/>
      <c r="K76" s="197"/>
      <c r="L76" s="198"/>
    </row>
    <row r="77" spans="2:20" ht="15" customHeight="1" x14ac:dyDescent="0.2">
      <c r="B77" s="18"/>
      <c r="E77" s="199"/>
      <c r="F77" s="200"/>
      <c r="G77" s="199"/>
      <c r="H77" s="200"/>
      <c r="I77" s="199"/>
      <c r="J77" s="200"/>
      <c r="K77" s="199"/>
      <c r="L77" s="200"/>
    </row>
    <row r="78" spans="2:20" ht="59.25" customHeight="1" x14ac:dyDescent="0.2">
      <c r="B78" s="18"/>
      <c r="C78" s="19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19"/>
      <c r="T78" s="19"/>
    </row>
    <row r="79" spans="2:20" ht="15" hidden="1" customHeight="1" x14ac:dyDescent="0.2">
      <c r="B79" s="18"/>
      <c r="C79" s="19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19"/>
      <c r="S79" s="19"/>
      <c r="T79" s="19"/>
    </row>
    <row r="80" spans="2:20" ht="15" hidden="1" customHeight="1" x14ac:dyDescent="0.2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">
      <c r="B81" s="113" t="s">
        <v>1</v>
      </c>
      <c r="C81" s="113"/>
      <c r="D81" s="113" t="s">
        <v>11</v>
      </c>
      <c r="E81" s="113"/>
      <c r="F81" s="113"/>
      <c r="G81" s="113" t="s">
        <v>128</v>
      </c>
      <c r="H81" s="113"/>
      <c r="I81" s="113" t="s">
        <v>11</v>
      </c>
      <c r="J81" s="113"/>
      <c r="K81" s="113"/>
      <c r="L81" s="113" t="s">
        <v>129</v>
      </c>
      <c r="M81" s="113"/>
      <c r="N81" s="113"/>
      <c r="O81" s="169" t="s">
        <v>11</v>
      </c>
      <c r="P81" s="170"/>
      <c r="Q81" s="170"/>
      <c r="R81" s="171"/>
      <c r="S81" s="52"/>
    </row>
    <row r="82" spans="2:20" ht="15" customHeight="1" x14ac:dyDescent="0.2">
      <c r="B82" s="114" t="str">
        <f>F3</f>
        <v>Triyana Kadarisman</v>
      </c>
      <c r="C82" s="114"/>
      <c r="D82" s="201"/>
      <c r="E82" s="201"/>
      <c r="F82" s="201"/>
      <c r="G82" s="158" t="s">
        <v>210</v>
      </c>
      <c r="H82" s="159"/>
      <c r="I82" s="201"/>
      <c r="J82" s="201"/>
      <c r="K82" s="201"/>
      <c r="L82" s="158" t="s">
        <v>211</v>
      </c>
      <c r="M82" s="159"/>
      <c r="N82" s="160"/>
      <c r="O82" s="142"/>
      <c r="P82" s="143"/>
      <c r="Q82" s="143"/>
      <c r="R82" s="144"/>
      <c r="S82" s="53"/>
    </row>
    <row r="83" spans="2:20" ht="15" customHeight="1" x14ac:dyDescent="0.2">
      <c r="B83" s="114"/>
      <c r="C83" s="114"/>
      <c r="D83" s="201"/>
      <c r="E83" s="201"/>
      <c r="F83" s="201"/>
      <c r="G83" s="161"/>
      <c r="H83" s="162"/>
      <c r="I83" s="201"/>
      <c r="J83" s="201"/>
      <c r="K83" s="201"/>
      <c r="L83" s="161"/>
      <c r="M83" s="162"/>
      <c r="N83" s="163"/>
      <c r="O83" s="145"/>
      <c r="P83" s="146"/>
      <c r="Q83" s="146"/>
      <c r="R83" s="147"/>
      <c r="S83" s="53"/>
    </row>
    <row r="84" spans="2:20" ht="15" customHeight="1" x14ac:dyDescent="0.2">
      <c r="B84" s="114"/>
      <c r="C84" s="114"/>
      <c r="D84" s="201"/>
      <c r="E84" s="201"/>
      <c r="F84" s="201"/>
      <c r="G84" s="161"/>
      <c r="H84" s="162"/>
      <c r="I84" s="201"/>
      <c r="J84" s="201"/>
      <c r="K84" s="201"/>
      <c r="L84" s="161"/>
      <c r="M84" s="162"/>
      <c r="N84" s="163"/>
      <c r="O84" s="145"/>
      <c r="P84" s="146"/>
      <c r="Q84" s="146"/>
      <c r="R84" s="147"/>
      <c r="S84" s="53"/>
    </row>
    <row r="85" spans="2:20" ht="15" customHeight="1" x14ac:dyDescent="0.2">
      <c r="B85" s="114"/>
      <c r="C85" s="114"/>
      <c r="D85" s="201"/>
      <c r="E85" s="201"/>
      <c r="F85" s="201"/>
      <c r="G85" s="164"/>
      <c r="H85" s="165"/>
      <c r="I85" s="201"/>
      <c r="J85" s="201"/>
      <c r="K85" s="201"/>
      <c r="L85" s="164"/>
      <c r="M85" s="165"/>
      <c r="N85" s="166"/>
      <c r="O85" s="148"/>
      <c r="P85" s="149"/>
      <c r="Q85" s="149"/>
      <c r="R85" s="150"/>
      <c r="S85" s="53"/>
    </row>
    <row r="86" spans="2:20" ht="15" customHeight="1" x14ac:dyDescent="0.2">
      <c r="B86" s="18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 spans="2:20" ht="15" customHeight="1" x14ac:dyDescent="0.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 ht="12" customHeight="1" x14ac:dyDescent="0.2">
      <c r="B88" s="18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</sheetData>
  <sheetProtection algorithmName="SHA-512" hashValue="x/GbCH7DjnX9wtgypUBCpaJrj1Bds4+ENy00k9AEnHZk/DYuE6THpP6pOTYaVW2MR8MFeUqipvtl2KUz/rnzHw==" saltValue="R5BFn/5SlcZNWiOBdjDkJQ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'/Users/ahmadmukhtar/Library/Containers/com.microsoft.Excel/Data/Documents/D:\Emerio\4.Timesheet\November\[Timesheet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baseColWidth="10" defaultColWidth="8.83203125" defaultRowHeight="15" x14ac:dyDescent="0.2"/>
  <cols>
    <col min="1" max="1" width="4.33203125" customWidth="1"/>
    <col min="2" max="2" width="9.1640625" customWidth="1"/>
    <col min="4" max="5" width="14.33203125" customWidth="1"/>
    <col min="6" max="9" width="17.83203125" customWidth="1"/>
  </cols>
  <sheetData>
    <row r="2" spans="2:13" x14ac:dyDescent="0.2">
      <c r="B2" s="2" t="s">
        <v>12</v>
      </c>
    </row>
    <row r="4" spans="2:13" ht="45" customHeight="1" x14ac:dyDescent="0.2">
      <c r="B4" s="1" t="s">
        <v>44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53</v>
      </c>
      <c r="L4" s="1" t="s">
        <v>55</v>
      </c>
      <c r="M4" s="1" t="s">
        <v>54</v>
      </c>
    </row>
    <row r="5" spans="2:13" x14ac:dyDescent="0.2">
      <c r="B5" s="205">
        <f>C5*8</f>
        <v>744</v>
      </c>
      <c r="C5" s="205">
        <f>COUNT('Timesheet-Regular'!$F$11:$F$72)+COUNT('Timesheet-Regular'!$H$11:$H$72)+COUNT('Timesheet-Regular'!$I$11:$I$72)</f>
        <v>93</v>
      </c>
      <c r="D5" s="205">
        <f>SUM('Timesheet-Regular'!$F$11:$F$72)-SUM('Timesheet-Regular'!$H$11:$H$72)-SUM('Timesheet-Regular'!$I$11:$I$72)</f>
        <v>18</v>
      </c>
      <c r="E5" s="206">
        <f>$D$5/8</f>
        <v>2.25</v>
      </c>
      <c r="F5" s="206">
        <f>SUM('Timesheet-Regular'!$F$11:$F$72)+SUM('Timesheet-Regular'!$H$11:$H$72)+SUM('Timesheet-Regular'!$I$11:$I$72)-$B$5</f>
        <v>-726</v>
      </c>
      <c r="G5" s="206">
        <f>$F$5/8</f>
        <v>-90.75</v>
      </c>
      <c r="H5" s="206" t="e">
        <f>SUM('Timesheet-Regular'!#REF!)</f>
        <v>#REF!</v>
      </c>
      <c r="I5" s="206" t="e">
        <f>$H$5/8</f>
        <v>#REF!</v>
      </c>
      <c r="J5" s="206">
        <f>SUM('Timesheet-Regular'!$H$11:$H$72)</f>
        <v>0</v>
      </c>
      <c r="K5" s="206">
        <f>$J$5/8</f>
        <v>0</v>
      </c>
      <c r="L5" s="206">
        <f>SUM('Timesheet-Regular'!$I$11:$I$72)</f>
        <v>0</v>
      </c>
      <c r="M5" s="206">
        <f>$L$5/8</f>
        <v>0</v>
      </c>
    </row>
    <row r="6" spans="2:13" x14ac:dyDescent="0.2">
      <c r="B6" s="205"/>
      <c r="C6" s="205"/>
      <c r="D6" s="205"/>
      <c r="E6" s="207"/>
      <c r="F6" s="207"/>
      <c r="G6" s="207"/>
      <c r="H6" s="207"/>
      <c r="I6" s="207"/>
      <c r="J6" s="207"/>
      <c r="K6" s="207"/>
      <c r="L6" s="207"/>
      <c r="M6" s="207"/>
    </row>
    <row r="7" spans="2:13" x14ac:dyDescent="0.2">
      <c r="B7" s="205"/>
      <c r="C7" s="205"/>
      <c r="D7" s="205"/>
      <c r="E7" s="208"/>
      <c r="F7" s="208"/>
      <c r="G7" s="208"/>
      <c r="H7" s="208"/>
      <c r="I7" s="208"/>
      <c r="J7" s="208"/>
      <c r="K7" s="208"/>
      <c r="L7" s="208"/>
      <c r="M7" s="20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2"/>
  <sheetViews>
    <sheetView workbookViewId="0">
      <selection activeCell="B104" sqref="B104"/>
    </sheetView>
  </sheetViews>
  <sheetFormatPr baseColWidth="10" defaultColWidth="9.1640625" defaultRowHeight="15" x14ac:dyDescent="0.2"/>
  <cols>
    <col min="1" max="1" width="27.5" style="27" customWidth="1"/>
    <col min="2" max="2" width="27.83203125" style="27" customWidth="1"/>
    <col min="3" max="3" width="9.5" style="3" bestFit="1" customWidth="1"/>
    <col min="4" max="4" width="8.6640625" style="3" bestFit="1" customWidth="1"/>
    <col min="5" max="5" width="25" style="3" customWidth="1"/>
    <col min="6" max="6" width="14.33203125" style="84" customWidth="1"/>
    <col min="7" max="8" width="25" style="3" customWidth="1"/>
    <col min="9" max="9" width="11.6640625" style="8" bestFit="1" customWidth="1"/>
    <col min="10" max="10" width="10.1640625" bestFit="1" customWidth="1"/>
    <col min="11" max="11" width="12.33203125" style="26" bestFit="1" customWidth="1"/>
    <col min="12" max="16384" width="9.1640625" style="3"/>
  </cols>
  <sheetData>
    <row r="2" spans="1:12" ht="13" x14ac:dyDescent="0.15">
      <c r="B2" s="27" t="s">
        <v>0</v>
      </c>
      <c r="C2" s="3" t="s">
        <v>56</v>
      </c>
      <c r="D2" s="3" t="s">
        <v>58</v>
      </c>
      <c r="F2" s="83"/>
      <c r="G2" s="3" t="s">
        <v>43</v>
      </c>
      <c r="H2" s="3" t="s">
        <v>42</v>
      </c>
      <c r="I2" s="3" t="s">
        <v>77</v>
      </c>
      <c r="J2" s="3" t="s">
        <v>119</v>
      </c>
      <c r="K2" s="27" t="s">
        <v>122</v>
      </c>
    </row>
    <row r="3" spans="1:12" x14ac:dyDescent="0.2">
      <c r="A3" s="78" t="s">
        <v>165</v>
      </c>
      <c r="J3" t="str">
        <f>'Timesheet-Regular'!D6</f>
        <v>No</v>
      </c>
      <c r="K3" s="210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09" t="str">
        <f>IF('Timesheet-Regular'!$D$6="No","",'Timesheet-Regular'!G11)</f>
        <v/>
      </c>
    </row>
    <row r="4" spans="1:12" x14ac:dyDescent="0.2">
      <c r="A4" s="95" t="s">
        <v>29</v>
      </c>
      <c r="B4" s="93" t="s">
        <v>29</v>
      </c>
      <c r="C4" s="6" t="s">
        <v>59</v>
      </c>
      <c r="D4" s="6" t="s">
        <v>61</v>
      </c>
      <c r="E4" s="79">
        <v>45292</v>
      </c>
      <c r="F4" s="85">
        <v>22</v>
      </c>
      <c r="G4" s="80" t="s">
        <v>34</v>
      </c>
      <c r="H4" s="7" t="s">
        <v>34</v>
      </c>
      <c r="I4" s="9">
        <v>45292</v>
      </c>
      <c r="K4" s="210"/>
      <c r="L4" s="209"/>
    </row>
    <row r="5" spans="1:12" x14ac:dyDescent="0.2">
      <c r="A5" s="96" t="s">
        <v>30</v>
      </c>
      <c r="B5" s="93" t="s">
        <v>16</v>
      </c>
      <c r="C5" s="6" t="s">
        <v>60</v>
      </c>
      <c r="D5" s="6" t="s">
        <v>62</v>
      </c>
      <c r="E5" s="79">
        <v>45323</v>
      </c>
      <c r="F5" s="85">
        <v>18</v>
      </c>
      <c r="G5" s="80" t="s">
        <v>35</v>
      </c>
      <c r="H5" s="7" t="s">
        <v>35</v>
      </c>
      <c r="I5" s="9"/>
      <c r="J5" t="str">
        <f>IF(J3="yes","Morning","")</f>
        <v/>
      </c>
      <c r="K5" s="21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09" t="str">
        <f>IF('Timesheet-Regular'!$D$6="No","",'Timesheet-Regular'!G13)</f>
        <v/>
      </c>
    </row>
    <row r="6" spans="1:12" x14ac:dyDescent="0.2">
      <c r="A6" s="95" t="s">
        <v>18</v>
      </c>
      <c r="B6" s="93" t="s">
        <v>30</v>
      </c>
      <c r="C6" s="5"/>
      <c r="D6" s="6" t="s">
        <v>63</v>
      </c>
      <c r="E6" s="79">
        <v>45352</v>
      </c>
      <c r="F6" s="85">
        <v>22</v>
      </c>
      <c r="G6" s="80" t="s">
        <v>36</v>
      </c>
      <c r="H6" s="7" t="s">
        <v>36</v>
      </c>
      <c r="I6" s="9"/>
      <c r="J6" t="str">
        <f>IF(J3="yes","Afternoon","")</f>
        <v/>
      </c>
      <c r="K6" s="210"/>
      <c r="L6" s="209"/>
    </row>
    <row r="7" spans="1:12" x14ac:dyDescent="0.2">
      <c r="A7" s="95" t="s">
        <v>22</v>
      </c>
      <c r="B7" s="93" t="s">
        <v>17</v>
      </c>
      <c r="C7" s="5"/>
      <c r="D7" s="5"/>
      <c r="E7" s="79">
        <v>45383</v>
      </c>
      <c r="F7" s="85">
        <v>19</v>
      </c>
      <c r="G7" s="80" t="s">
        <v>120</v>
      </c>
      <c r="H7" s="7" t="s">
        <v>37</v>
      </c>
      <c r="I7" s="9"/>
      <c r="J7" t="str">
        <f>IF(J3="yes","Night","")</f>
        <v/>
      </c>
      <c r="K7" s="21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09" t="str">
        <f>IF('Timesheet-Regular'!$D$6="No","",'Timesheet-Regular'!G15)</f>
        <v/>
      </c>
    </row>
    <row r="8" spans="1:12" x14ac:dyDescent="0.2">
      <c r="A8" s="96" t="s">
        <v>71</v>
      </c>
      <c r="B8" s="93" t="s">
        <v>184</v>
      </c>
      <c r="C8" s="5"/>
      <c r="D8" s="5"/>
      <c r="E8" s="79">
        <v>45413</v>
      </c>
      <c r="F8" s="85">
        <v>22</v>
      </c>
      <c r="G8" s="80" t="s">
        <v>121</v>
      </c>
      <c r="H8" s="7" t="s">
        <v>38</v>
      </c>
      <c r="I8" s="9"/>
      <c r="K8" s="210"/>
      <c r="L8" s="209"/>
    </row>
    <row r="9" spans="1:12" x14ac:dyDescent="0.2">
      <c r="A9" s="96" t="s">
        <v>206</v>
      </c>
      <c r="B9" s="93" t="s">
        <v>28</v>
      </c>
      <c r="C9" s="5"/>
      <c r="D9" s="5"/>
      <c r="E9" s="79">
        <v>45444</v>
      </c>
      <c r="F9" s="85">
        <v>20</v>
      </c>
      <c r="G9" s="80" t="s">
        <v>39</v>
      </c>
      <c r="H9" s="7" t="s">
        <v>39</v>
      </c>
      <c r="I9" s="9"/>
      <c r="K9" s="21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09" t="str">
        <f>IF('Timesheet-Regular'!$D$6="No","",'Timesheet-Regular'!G17)</f>
        <v/>
      </c>
    </row>
    <row r="10" spans="1:12" x14ac:dyDescent="0.2">
      <c r="A10" s="96" t="s">
        <v>200</v>
      </c>
      <c r="B10" s="93" t="s">
        <v>195</v>
      </c>
      <c r="C10" s="5"/>
      <c r="D10" s="5"/>
      <c r="E10" s="79">
        <v>45474</v>
      </c>
      <c r="F10" s="85">
        <v>20</v>
      </c>
      <c r="G10" s="80" t="s">
        <v>78</v>
      </c>
      <c r="H10" s="80" t="s">
        <v>174</v>
      </c>
      <c r="I10" s="9"/>
      <c r="K10" s="210"/>
      <c r="L10" s="209"/>
    </row>
    <row r="11" spans="1:12" x14ac:dyDescent="0.2">
      <c r="A11" s="95" t="s">
        <v>195</v>
      </c>
      <c r="B11" s="93" t="s">
        <v>69</v>
      </c>
      <c r="C11" s="5"/>
      <c r="D11" s="5"/>
      <c r="E11" s="79">
        <v>45505</v>
      </c>
      <c r="F11" s="85">
        <v>22</v>
      </c>
      <c r="G11" s="80" t="s">
        <v>79</v>
      </c>
      <c r="I11" s="9"/>
      <c r="K11" s="21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09" t="str">
        <f>IF('Timesheet-Regular'!$D$6="No","",'Timesheet-Regular'!G19)</f>
        <v/>
      </c>
    </row>
    <row r="12" spans="1:12" x14ac:dyDescent="0.2">
      <c r="A12" s="95" t="s">
        <v>181</v>
      </c>
      <c r="B12" s="93" t="s">
        <v>22</v>
      </c>
      <c r="C12" s="5"/>
      <c r="D12" s="5"/>
      <c r="E12" s="79">
        <v>45536</v>
      </c>
      <c r="F12" s="85">
        <v>20</v>
      </c>
      <c r="G12" s="80" t="s">
        <v>41</v>
      </c>
      <c r="I12" s="9"/>
      <c r="K12" s="210"/>
      <c r="L12" s="209"/>
    </row>
    <row r="13" spans="1:12" x14ac:dyDescent="0.2">
      <c r="A13" s="95" t="s">
        <v>19</v>
      </c>
      <c r="B13" s="93" t="s">
        <v>190</v>
      </c>
      <c r="C13" s="5"/>
      <c r="D13" s="5"/>
      <c r="E13" s="79">
        <v>45566</v>
      </c>
      <c r="F13" s="85">
        <v>22</v>
      </c>
      <c r="G13" s="80" t="s">
        <v>40</v>
      </c>
      <c r="I13" s="9"/>
      <c r="K13" s="210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09" t="str">
        <f>IF('Timesheet-Regular'!$D$6="No","",'Timesheet-Regular'!G21)</f>
        <v/>
      </c>
    </row>
    <row r="14" spans="1:12" x14ac:dyDescent="0.2">
      <c r="A14" s="95" t="s">
        <v>180</v>
      </c>
      <c r="B14" s="93" t="s">
        <v>206</v>
      </c>
      <c r="C14" s="5"/>
      <c r="D14" s="5"/>
      <c r="E14" s="79">
        <v>45597</v>
      </c>
      <c r="F14" s="85">
        <v>22</v>
      </c>
      <c r="G14" s="80" t="s">
        <v>174</v>
      </c>
      <c r="I14" s="9"/>
      <c r="K14" s="210"/>
      <c r="L14" s="209"/>
    </row>
    <row r="15" spans="1:12" x14ac:dyDescent="0.2">
      <c r="A15" s="95" t="s">
        <v>201</v>
      </c>
      <c r="B15" s="93" t="s">
        <v>18</v>
      </c>
      <c r="C15" s="5"/>
      <c r="D15" s="5"/>
      <c r="E15" s="79">
        <v>45627</v>
      </c>
      <c r="F15" s="85">
        <v>20</v>
      </c>
      <c r="G15" s="23"/>
      <c r="I15" s="9"/>
      <c r="K15" s="210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09" t="str">
        <f>IF('Timesheet-Regular'!$D$6="No","",'Timesheet-Regular'!G23)</f>
        <v/>
      </c>
    </row>
    <row r="16" spans="1:12" x14ac:dyDescent="0.2">
      <c r="A16" s="95" t="s">
        <v>20</v>
      </c>
      <c r="B16" s="93" t="s">
        <v>126</v>
      </c>
      <c r="C16" s="5"/>
      <c r="D16" s="5"/>
      <c r="E16" s="4"/>
      <c r="F16" s="86"/>
      <c r="I16" s="9"/>
      <c r="K16" s="210"/>
      <c r="L16" s="209"/>
    </row>
    <row r="17" spans="1:12" x14ac:dyDescent="0.2">
      <c r="A17" s="95" t="s">
        <v>192</v>
      </c>
      <c r="B17" s="93" t="s">
        <v>70</v>
      </c>
      <c r="C17" s="5"/>
      <c r="D17" s="5"/>
      <c r="E17" s="4"/>
      <c r="F17" s="86"/>
      <c r="I17" s="9"/>
      <c r="K17" s="21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09" t="str">
        <f>IF('Timesheet-Regular'!$D$6="No","",'Timesheet-Regular'!G25)</f>
        <v/>
      </c>
    </row>
    <row r="18" spans="1:12" x14ac:dyDescent="0.2">
      <c r="A18" s="96" t="s">
        <v>76</v>
      </c>
      <c r="B18" s="93" t="s">
        <v>71</v>
      </c>
      <c r="C18" s="5"/>
      <c r="D18" s="5"/>
      <c r="E18" s="4" t="s">
        <v>171</v>
      </c>
      <c r="F18" s="86">
        <f>VLOOKUP('Timesheet-Regular'!D7,List!E4:F15,2,0)</f>
        <v>22</v>
      </c>
      <c r="G18" s="24"/>
      <c r="I18" s="9"/>
      <c r="K18" s="210"/>
      <c r="L18" s="209"/>
    </row>
    <row r="19" spans="1:12" x14ac:dyDescent="0.2">
      <c r="A19" s="95" t="s">
        <v>24</v>
      </c>
      <c r="B19" s="93" t="s">
        <v>31</v>
      </c>
      <c r="C19" s="5"/>
      <c r="D19" s="5"/>
      <c r="E19" s="4" t="s">
        <v>170</v>
      </c>
      <c r="F19" s="86">
        <f>IF('Timesheet-Regular'!D5="Existing",IF('Timesheet-Regular'!F77=List!F18,VLOOKUP('Timesheet-Regular'!D7,List!E4:F15,2,0),0),VLOOKUP('Timesheet-Regular'!D7,List!E4:F15,2,0))</f>
        <v>22</v>
      </c>
      <c r="K19" s="21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09" t="str">
        <f>IF('Timesheet-Regular'!$D$6="No","",'Timesheet-Regular'!G27)</f>
        <v/>
      </c>
    </row>
    <row r="20" spans="1:12" x14ac:dyDescent="0.2">
      <c r="A20" s="95" t="s">
        <v>25</v>
      </c>
      <c r="B20" s="93" t="s">
        <v>191</v>
      </c>
      <c r="C20" s="5"/>
      <c r="D20" s="5"/>
      <c r="E20" s="4"/>
      <c r="F20" s="86"/>
      <c r="K20" s="210"/>
      <c r="L20" s="209"/>
    </row>
    <row r="21" spans="1:12" x14ac:dyDescent="0.2">
      <c r="A21" s="96" t="s">
        <v>202</v>
      </c>
      <c r="B21" s="93" t="s">
        <v>72</v>
      </c>
      <c r="C21" s="5"/>
      <c r="D21" s="5"/>
      <c r="F21" s="86"/>
      <c r="K21" s="21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09" t="str">
        <f>IF('Timesheet-Regular'!$D$6="No","",'Timesheet-Regular'!G29)</f>
        <v/>
      </c>
    </row>
    <row r="22" spans="1:12" x14ac:dyDescent="0.2">
      <c r="A22" s="95" t="s">
        <v>70</v>
      </c>
      <c r="B22" s="93" t="s">
        <v>189</v>
      </c>
      <c r="C22" s="5"/>
      <c r="D22" s="5"/>
      <c r="F22" s="86"/>
      <c r="K22" s="210"/>
      <c r="L22" s="209"/>
    </row>
    <row r="23" spans="1:12" x14ac:dyDescent="0.2">
      <c r="A23" s="95" t="s">
        <v>203</v>
      </c>
      <c r="B23" s="93" t="s">
        <v>73</v>
      </c>
      <c r="C23" s="5"/>
      <c r="D23" s="5"/>
      <c r="F23" s="86"/>
      <c r="K23" s="21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09" t="str">
        <f>IF('Timesheet-Regular'!$D$6="No","",'Timesheet-Regular'!G31)</f>
        <v/>
      </c>
    </row>
    <row r="24" spans="1:12" x14ac:dyDescent="0.2">
      <c r="A24" s="96" t="s">
        <v>182</v>
      </c>
      <c r="B24" s="93" t="s">
        <v>19</v>
      </c>
      <c r="C24" s="5"/>
      <c r="D24" s="5"/>
      <c r="F24" s="86"/>
      <c r="K24" s="210"/>
      <c r="L24" s="209"/>
    </row>
    <row r="25" spans="1:12" x14ac:dyDescent="0.2">
      <c r="A25" s="95" t="s">
        <v>26</v>
      </c>
      <c r="B25" s="93" t="s">
        <v>74</v>
      </c>
      <c r="C25" s="5"/>
      <c r="D25" s="5"/>
      <c r="F25" s="86"/>
      <c r="K25" s="21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09" t="str">
        <f>IF('Timesheet-Regular'!$D$6="No","",'Timesheet-Regular'!G33)</f>
        <v/>
      </c>
    </row>
    <row r="26" spans="1:12" x14ac:dyDescent="0.2">
      <c r="A26" s="95" t="s">
        <v>204</v>
      </c>
      <c r="B26" s="93" t="s">
        <v>127</v>
      </c>
      <c r="C26" s="5"/>
      <c r="D26" s="5"/>
      <c r="F26" s="86"/>
      <c r="K26" s="210"/>
      <c r="L26" s="209"/>
    </row>
    <row r="27" spans="1:12" x14ac:dyDescent="0.2">
      <c r="A27" s="95" t="s">
        <v>134</v>
      </c>
      <c r="B27" s="93" t="s">
        <v>75</v>
      </c>
      <c r="C27" s="5"/>
      <c r="D27" s="5"/>
      <c r="F27" s="86"/>
      <c r="K27" s="210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09" t="str">
        <f>IF('Timesheet-Regular'!$D$6="No","",'Timesheet-Regular'!G35)</f>
        <v/>
      </c>
    </row>
    <row r="28" spans="1:12" x14ac:dyDescent="0.2">
      <c r="A28" s="95" t="s">
        <v>176</v>
      </c>
      <c r="B28" s="93" t="s">
        <v>27</v>
      </c>
      <c r="C28" s="5"/>
      <c r="D28" s="5"/>
      <c r="F28" s="86"/>
      <c r="K28" s="210"/>
      <c r="L28" s="209"/>
    </row>
    <row r="29" spans="1:12" x14ac:dyDescent="0.2">
      <c r="A29" s="95" t="s">
        <v>187</v>
      </c>
      <c r="B29" s="93" t="s">
        <v>23</v>
      </c>
      <c r="C29" s="5"/>
      <c r="D29" s="5"/>
      <c r="F29" s="86"/>
      <c r="K29" s="210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09" t="str">
        <f>IF('Timesheet-Regular'!$D$6="No","",'Timesheet-Regular'!G37)</f>
        <v/>
      </c>
    </row>
    <row r="30" spans="1:12" x14ac:dyDescent="0.2">
      <c r="A30" s="95" t="s">
        <v>188</v>
      </c>
      <c r="B30" s="93" t="s">
        <v>20</v>
      </c>
      <c r="C30" s="5"/>
      <c r="D30" s="5"/>
      <c r="F30" s="86"/>
      <c r="K30" s="210"/>
      <c r="L30" s="209"/>
    </row>
    <row r="31" spans="1:12" x14ac:dyDescent="0.2">
      <c r="A31" s="95" t="s">
        <v>32</v>
      </c>
      <c r="B31" s="93" t="s">
        <v>76</v>
      </c>
      <c r="C31" s="5"/>
      <c r="D31" s="5"/>
      <c r="F31" s="86"/>
      <c r="K31" s="21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09" t="str">
        <f>IF('Timesheet-Regular'!$D$6="No","",'Timesheet-Regular'!G39)</f>
        <v/>
      </c>
    </row>
    <row r="32" spans="1:12" x14ac:dyDescent="0.2">
      <c r="A32" s="95"/>
      <c r="B32" s="93" t="s">
        <v>24</v>
      </c>
      <c r="C32" s="5"/>
      <c r="D32" s="5"/>
      <c r="F32" s="86"/>
      <c r="K32" s="210"/>
      <c r="L32" s="209"/>
    </row>
    <row r="33" spans="1:12" x14ac:dyDescent="0.2">
      <c r="A33" s="95" t="s">
        <v>189</v>
      </c>
      <c r="B33" s="93" t="s">
        <v>205</v>
      </c>
      <c r="C33" s="5"/>
      <c r="D33" s="5"/>
      <c r="F33" s="86"/>
      <c r="K33" s="210"/>
      <c r="L33" s="209"/>
    </row>
    <row r="34" spans="1:12" x14ac:dyDescent="0.2">
      <c r="A34" s="95" t="s">
        <v>194</v>
      </c>
      <c r="B34" s="93" t="s">
        <v>118</v>
      </c>
      <c r="C34" s="5"/>
      <c r="D34" s="5"/>
      <c r="F34" s="86"/>
      <c r="K34" s="21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4" s="209" t="str">
        <f>IF('Timesheet-Regular'!$D$6="No","",'Timesheet-Regular'!G41)</f>
        <v/>
      </c>
    </row>
    <row r="35" spans="1:12" x14ac:dyDescent="0.2">
      <c r="A35" s="96" t="s">
        <v>33</v>
      </c>
      <c r="B35" s="93" t="s">
        <v>25</v>
      </c>
      <c r="C35" s="5"/>
      <c r="D35" s="5"/>
      <c r="F35" s="86"/>
      <c r="K35" s="210"/>
      <c r="L35" s="209"/>
    </row>
    <row r="36" spans="1:12" x14ac:dyDescent="0.2">
      <c r="A36" s="96" t="s">
        <v>186</v>
      </c>
      <c r="B36" s="93" t="s">
        <v>163</v>
      </c>
      <c r="C36" s="5"/>
      <c r="D36" s="5"/>
      <c r="F36" s="86"/>
      <c r="K36" s="21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6" s="209" t="str">
        <f>IF('Timesheet-Regular'!$D$6="No","",'Timesheet-Regular'!G43)</f>
        <v/>
      </c>
    </row>
    <row r="37" spans="1:12" x14ac:dyDescent="0.2">
      <c r="A37" s="94"/>
      <c r="B37" s="93" t="s">
        <v>200</v>
      </c>
      <c r="C37" s="5"/>
      <c r="D37" s="5"/>
      <c r="F37" s="86"/>
      <c r="K37" s="210"/>
      <c r="L37" s="209"/>
    </row>
    <row r="38" spans="1:12" x14ac:dyDescent="0.2">
      <c r="A38" s="94"/>
      <c r="B38" s="93" t="s">
        <v>26</v>
      </c>
      <c r="C38" s="5"/>
      <c r="D38" s="5"/>
      <c r="F38" s="86"/>
      <c r="K38" s="21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8" s="209" t="str">
        <f>IF('Timesheet-Regular'!$D$6="No","",'Timesheet-Regular'!G45)</f>
        <v/>
      </c>
    </row>
    <row r="39" spans="1:12" x14ac:dyDescent="0.2">
      <c r="A39" s="94"/>
      <c r="B39" s="93" t="s">
        <v>187</v>
      </c>
      <c r="C39" s="5"/>
      <c r="D39" s="5"/>
      <c r="F39" s="86"/>
      <c r="K39" s="210"/>
      <c r="L39" s="209"/>
    </row>
    <row r="40" spans="1:12" x14ac:dyDescent="0.2">
      <c r="A40" s="94"/>
      <c r="B40" s="93" t="s">
        <v>179</v>
      </c>
      <c r="F40" s="86"/>
      <c r="K40" s="21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40" s="209" t="str">
        <f>IF('Timesheet-Regular'!$D$6="No","",'Timesheet-Regular'!G47)</f>
        <v/>
      </c>
    </row>
    <row r="41" spans="1:12" x14ac:dyDescent="0.2">
      <c r="A41" s="94"/>
      <c r="B41" s="93" t="s">
        <v>177</v>
      </c>
      <c r="F41" s="86"/>
      <c r="K41" s="210"/>
      <c r="L41" s="209"/>
    </row>
    <row r="42" spans="1:12" x14ac:dyDescent="0.2">
      <c r="A42" s="94"/>
      <c r="B42" s="93" t="s">
        <v>181</v>
      </c>
      <c r="F42" s="86"/>
      <c r="K42" s="210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2" s="209" t="str">
        <f>IF('Timesheet-Regular'!$D$6="No","",'Timesheet-Regular'!G49)</f>
        <v/>
      </c>
    </row>
    <row r="43" spans="1:12" x14ac:dyDescent="0.2">
      <c r="A43" s="94"/>
      <c r="B43" s="93" t="s">
        <v>180</v>
      </c>
      <c r="F43" s="86"/>
      <c r="K43" s="210"/>
      <c r="L43" s="209"/>
    </row>
    <row r="44" spans="1:12" x14ac:dyDescent="0.2">
      <c r="A44" s="94"/>
      <c r="B44" s="93" t="s">
        <v>175</v>
      </c>
      <c r="F44" s="86"/>
      <c r="K44" s="210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4" s="209" t="str">
        <f>IF('Timesheet-Regular'!$D$6="No","",'Timesheet-Regular'!G51)</f>
        <v/>
      </c>
    </row>
    <row r="45" spans="1:12" x14ac:dyDescent="0.2">
      <c r="A45" s="94"/>
      <c r="B45" s="93" t="s">
        <v>182</v>
      </c>
      <c r="F45" s="86"/>
      <c r="K45" s="210"/>
      <c r="L45" s="209"/>
    </row>
    <row r="46" spans="1:12" x14ac:dyDescent="0.2">
      <c r="A46" s="94"/>
      <c r="B46" s="93" t="s">
        <v>202</v>
      </c>
      <c r="F46" s="86"/>
      <c r="K46" s="21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6" s="209" t="str">
        <f>IF('Timesheet-Regular'!$D$6="No","",'Timesheet-Regular'!G53)</f>
        <v/>
      </c>
    </row>
    <row r="47" spans="1:12" x14ac:dyDescent="0.2">
      <c r="A47" s="77" t="s">
        <v>16</v>
      </c>
      <c r="B47" s="93" t="s">
        <v>32</v>
      </c>
      <c r="F47" s="86"/>
      <c r="K47" s="210"/>
      <c r="L47" s="209"/>
    </row>
    <row r="48" spans="1:12" x14ac:dyDescent="0.2">
      <c r="A48" s="77" t="s">
        <v>28</v>
      </c>
      <c r="B48" s="93" t="s">
        <v>193</v>
      </c>
      <c r="F48" s="86"/>
      <c r="K48" s="21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8" s="209" t="str">
        <f>IF('Timesheet-Regular'!$D$6="No","",'Timesheet-Regular'!G55)</f>
        <v/>
      </c>
    </row>
    <row r="49" spans="1:12" x14ac:dyDescent="0.2">
      <c r="A49" s="77" t="s">
        <v>69</v>
      </c>
      <c r="B49" s="93" t="s">
        <v>203</v>
      </c>
      <c r="F49" s="86"/>
      <c r="K49" s="210"/>
      <c r="L49" s="209"/>
    </row>
    <row r="50" spans="1:12" x14ac:dyDescent="0.2">
      <c r="A50" s="77" t="s">
        <v>126</v>
      </c>
      <c r="B50" s="93" t="s">
        <v>204</v>
      </c>
      <c r="F50" s="86"/>
      <c r="K50" s="21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50" s="209" t="str">
        <f>IF('Timesheet-Regular'!$D$6="No","",'Timesheet-Regular'!G57)</f>
        <v/>
      </c>
    </row>
    <row r="51" spans="1:12" x14ac:dyDescent="0.2">
      <c r="A51" s="77" t="s">
        <v>163</v>
      </c>
      <c r="B51" s="93" t="s">
        <v>185</v>
      </c>
      <c r="F51" s="86"/>
      <c r="K51" s="210"/>
      <c r="L51" s="209"/>
    </row>
    <row r="52" spans="1:12" x14ac:dyDescent="0.2">
      <c r="A52" s="77" t="s">
        <v>31</v>
      </c>
      <c r="B52" s="93" t="s">
        <v>201</v>
      </c>
      <c r="F52" s="86"/>
      <c r="K52" s="21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2" s="209" t="str">
        <f>IF('Timesheet-Regular'!$D$6="No","",'Timesheet-Regular'!G59)</f>
        <v/>
      </c>
    </row>
    <row r="53" spans="1:12" x14ac:dyDescent="0.2">
      <c r="A53" s="77" t="s">
        <v>73</v>
      </c>
      <c r="B53" s="93" t="s">
        <v>194</v>
      </c>
      <c r="F53" s="86"/>
      <c r="K53" s="210"/>
      <c r="L53" s="209"/>
    </row>
    <row r="54" spans="1:12" x14ac:dyDescent="0.2">
      <c r="A54" s="77" t="s">
        <v>74</v>
      </c>
      <c r="B54" s="93" t="s">
        <v>178</v>
      </c>
      <c r="F54" s="86"/>
      <c r="K54" s="21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4" s="209" t="str">
        <f>IF('Timesheet-Regular'!$D$6="No","",'Timesheet-Regular'!G61)</f>
        <v/>
      </c>
    </row>
    <row r="55" spans="1:12" x14ac:dyDescent="0.2">
      <c r="A55" s="77" t="s">
        <v>75</v>
      </c>
      <c r="B55" s="93" t="s">
        <v>192</v>
      </c>
      <c r="F55" s="86"/>
      <c r="K55" s="210"/>
      <c r="L55" s="209"/>
    </row>
    <row r="56" spans="1:12" x14ac:dyDescent="0.2">
      <c r="A56" s="77" t="s">
        <v>27</v>
      </c>
      <c r="B56" s="93" t="s">
        <v>21</v>
      </c>
      <c r="F56" s="86"/>
      <c r="K56" s="210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6" s="209" t="str">
        <f>IF('Timesheet-Regular'!$D$6="No","",'Timesheet-Regular'!G63)</f>
        <v/>
      </c>
    </row>
    <row r="57" spans="1:12" x14ac:dyDescent="0.2">
      <c r="A57" s="77" t="s">
        <v>25</v>
      </c>
      <c r="B57" s="93" t="s">
        <v>134</v>
      </c>
      <c r="F57" s="86"/>
      <c r="K57" s="210"/>
      <c r="L57" s="209"/>
    </row>
    <row r="58" spans="1:12" x14ac:dyDescent="0.2">
      <c r="A58" s="77" t="s">
        <v>21</v>
      </c>
      <c r="B58" s="93" t="s">
        <v>176</v>
      </c>
      <c r="F58" s="86"/>
      <c r="K58" s="210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8" s="209" t="str">
        <f>IF('Timesheet-Regular'!$D$6="No","",'Timesheet-Regular'!G65)</f>
        <v/>
      </c>
    </row>
    <row r="59" spans="1:12" x14ac:dyDescent="0.2">
      <c r="A59" s="77" t="s">
        <v>175</v>
      </c>
      <c r="B59" s="93" t="s">
        <v>186</v>
      </c>
      <c r="F59" s="86"/>
      <c r="K59" s="210"/>
      <c r="L59" s="209"/>
    </row>
    <row r="60" spans="1:12" x14ac:dyDescent="0.2">
      <c r="A60" s="77"/>
      <c r="B60" s="93" t="s">
        <v>188</v>
      </c>
      <c r="F60" s="86"/>
      <c r="K60" s="21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60" s="209"/>
    </row>
    <row r="61" spans="1:12" x14ac:dyDescent="0.2">
      <c r="A61" s="77"/>
      <c r="B61" s="93" t="s">
        <v>33</v>
      </c>
      <c r="F61" s="86"/>
      <c r="K61" s="210"/>
      <c r="L61" s="76"/>
    </row>
    <row r="62" spans="1:12" x14ac:dyDescent="0.2">
      <c r="A62" s="77"/>
      <c r="F62" s="86"/>
      <c r="K62" s="21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2" s="209" t="str">
        <f>IF('Timesheet-Regular'!$D$6="No","",'Timesheet-Regular'!G67)</f>
        <v/>
      </c>
    </row>
    <row r="63" spans="1:12" x14ac:dyDescent="0.2">
      <c r="A63" s="77"/>
      <c r="F63" s="86"/>
      <c r="K63" s="210"/>
      <c r="L63" s="209"/>
    </row>
    <row r="64" spans="1:12" x14ac:dyDescent="0.2">
      <c r="A64" s="77"/>
      <c r="F64" s="86"/>
      <c r="K64" s="21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4" s="209"/>
    </row>
    <row r="65" spans="1:12" x14ac:dyDescent="0.2">
      <c r="A65" s="77"/>
      <c r="F65" s="86"/>
      <c r="K65" s="210"/>
      <c r="L65" s="209"/>
    </row>
    <row r="66" spans="1:12" x14ac:dyDescent="0.2">
      <c r="A66" s="77"/>
      <c r="F66" s="86"/>
      <c r="L66" s="209"/>
    </row>
    <row r="67" spans="1:12" x14ac:dyDescent="0.2">
      <c r="A67" s="77"/>
      <c r="F67" s="86"/>
      <c r="K67" s="21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7" s="209"/>
    </row>
    <row r="68" spans="1:12" x14ac:dyDescent="0.2">
      <c r="A68" s="77"/>
      <c r="F68" s="86"/>
      <c r="K68" s="210"/>
      <c r="L68" s="76"/>
    </row>
    <row r="69" spans="1:12" x14ac:dyDescent="0.2">
      <c r="A69" s="77"/>
      <c r="F69" s="86"/>
      <c r="K69" s="21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9" s="209" t="str">
        <f>IF('Timesheet-Regular'!$D$6="No","",'Timesheet-Regular'!G69)</f>
        <v/>
      </c>
    </row>
    <row r="70" spans="1:12" x14ac:dyDescent="0.2">
      <c r="A70" s="77"/>
      <c r="F70" s="86"/>
      <c r="K70" s="210"/>
      <c r="L70" s="209"/>
    </row>
    <row r="71" spans="1:12" x14ac:dyDescent="0.2">
      <c r="A71" s="77"/>
      <c r="F71" s="86"/>
      <c r="K71" s="210"/>
      <c r="L71" s="209"/>
    </row>
    <row r="72" spans="1:12" x14ac:dyDescent="0.2">
      <c r="A72" s="77"/>
      <c r="F72" s="86"/>
      <c r="K72" s="210"/>
      <c r="L72" s="76"/>
    </row>
    <row r="73" spans="1:12" x14ac:dyDescent="0.2">
      <c r="A73" s="78" t="s">
        <v>164</v>
      </c>
      <c r="F73" s="86"/>
      <c r="K73" s="210"/>
    </row>
    <row r="74" spans="1:12" x14ac:dyDescent="0.2">
      <c r="A74" s="95" t="s">
        <v>29</v>
      </c>
      <c r="F74" s="86"/>
      <c r="K74" s="210"/>
    </row>
    <row r="75" spans="1:12" x14ac:dyDescent="0.2">
      <c r="A75" s="95" t="s">
        <v>17</v>
      </c>
      <c r="F75" s="86"/>
      <c r="K75" s="210"/>
    </row>
    <row r="76" spans="1:12" x14ac:dyDescent="0.2">
      <c r="A76" s="96" t="s">
        <v>22</v>
      </c>
      <c r="F76" s="86"/>
      <c r="K76" s="210"/>
    </row>
    <row r="77" spans="1:12" x14ac:dyDescent="0.2">
      <c r="A77" s="96" t="s">
        <v>71</v>
      </c>
      <c r="F77" s="86"/>
      <c r="K77" s="210"/>
    </row>
    <row r="78" spans="1:12" x14ac:dyDescent="0.2">
      <c r="A78" s="96" t="s">
        <v>18</v>
      </c>
      <c r="F78" s="86"/>
      <c r="K78" s="210"/>
    </row>
    <row r="79" spans="1:12" x14ac:dyDescent="0.2">
      <c r="A79" s="95" t="s">
        <v>181</v>
      </c>
      <c r="F79" s="86"/>
      <c r="K79" s="210"/>
    </row>
    <row r="80" spans="1:12" x14ac:dyDescent="0.2">
      <c r="A80" s="95" t="s">
        <v>19</v>
      </c>
      <c r="F80" s="86"/>
      <c r="K80" s="210"/>
    </row>
    <row r="81" spans="1:11" x14ac:dyDescent="0.2">
      <c r="A81" s="95" t="s">
        <v>203</v>
      </c>
      <c r="F81" s="86"/>
      <c r="K81" s="210"/>
    </row>
    <row r="82" spans="1:11" x14ac:dyDescent="0.2">
      <c r="A82" s="96" t="s">
        <v>180</v>
      </c>
      <c r="F82" s="86"/>
      <c r="K82" s="210"/>
    </row>
    <row r="83" spans="1:11" x14ac:dyDescent="0.2">
      <c r="A83" s="96" t="s">
        <v>204</v>
      </c>
      <c r="F83" s="86"/>
      <c r="K83" s="210"/>
    </row>
    <row r="84" spans="1:11" x14ac:dyDescent="0.2">
      <c r="A84" s="96" t="s">
        <v>23</v>
      </c>
      <c r="F84" s="86"/>
      <c r="K84" s="210"/>
    </row>
    <row r="85" spans="1:11" x14ac:dyDescent="0.2">
      <c r="A85" s="95" t="s">
        <v>20</v>
      </c>
      <c r="F85" s="86"/>
      <c r="K85" s="210"/>
    </row>
    <row r="86" spans="1:11" x14ac:dyDescent="0.2">
      <c r="A86" s="96" t="s">
        <v>76</v>
      </c>
      <c r="F86" s="86"/>
      <c r="K86" s="210"/>
    </row>
    <row r="87" spans="1:11" x14ac:dyDescent="0.2">
      <c r="A87" s="96" t="s">
        <v>186</v>
      </c>
      <c r="F87" s="86"/>
      <c r="K87" s="210"/>
    </row>
    <row r="88" spans="1:11" x14ac:dyDescent="0.2">
      <c r="A88" s="96" t="s">
        <v>195</v>
      </c>
      <c r="F88" s="86"/>
      <c r="K88" s="210"/>
    </row>
    <row r="89" spans="1:11" x14ac:dyDescent="0.2">
      <c r="A89" s="95" t="s">
        <v>25</v>
      </c>
      <c r="F89" s="86"/>
      <c r="K89" s="210"/>
    </row>
    <row r="90" spans="1:11" x14ac:dyDescent="0.2">
      <c r="A90" s="95" t="s">
        <v>182</v>
      </c>
      <c r="F90" s="86"/>
      <c r="K90" s="210"/>
    </row>
    <row r="91" spans="1:11" x14ac:dyDescent="0.2">
      <c r="A91" s="96" t="s">
        <v>200</v>
      </c>
      <c r="F91" s="86"/>
      <c r="K91" s="210"/>
    </row>
    <row r="92" spans="1:11" x14ac:dyDescent="0.2">
      <c r="A92" s="96" t="s">
        <v>70</v>
      </c>
      <c r="F92" s="86"/>
      <c r="K92" s="210"/>
    </row>
    <row r="93" spans="1:11" x14ac:dyDescent="0.2">
      <c r="A93" s="96" t="s">
        <v>24</v>
      </c>
      <c r="F93" s="86"/>
      <c r="K93" s="210"/>
    </row>
    <row r="94" spans="1:11" x14ac:dyDescent="0.2">
      <c r="A94" s="96" t="s">
        <v>201</v>
      </c>
      <c r="F94" s="86"/>
      <c r="K94" s="210"/>
    </row>
    <row r="95" spans="1:11" x14ac:dyDescent="0.2">
      <c r="A95" s="96" t="s">
        <v>192</v>
      </c>
      <c r="F95" s="86"/>
      <c r="K95" s="210"/>
    </row>
    <row r="96" spans="1:11" x14ac:dyDescent="0.2">
      <c r="A96" s="96" t="s">
        <v>188</v>
      </c>
      <c r="F96" s="86"/>
      <c r="K96" s="210"/>
    </row>
    <row r="97" spans="1:11" x14ac:dyDescent="0.2">
      <c r="A97" s="96" t="s">
        <v>176</v>
      </c>
      <c r="F97" s="86"/>
      <c r="K97" s="210"/>
    </row>
    <row r="98" spans="1:11" x14ac:dyDescent="0.2">
      <c r="A98" s="96" t="s">
        <v>202</v>
      </c>
      <c r="F98" s="86"/>
      <c r="K98" s="210"/>
    </row>
    <row r="99" spans="1:11" x14ac:dyDescent="0.2">
      <c r="A99" s="96" t="s">
        <v>194</v>
      </c>
      <c r="F99" s="86"/>
      <c r="K99" s="210"/>
    </row>
    <row r="100" spans="1:11" x14ac:dyDescent="0.2">
      <c r="A100" s="96" t="s">
        <v>189</v>
      </c>
      <c r="F100" s="86"/>
      <c r="K100" s="210"/>
    </row>
    <row r="101" spans="1:11" x14ac:dyDescent="0.2">
      <c r="A101" s="95" t="s">
        <v>32</v>
      </c>
      <c r="F101" s="86"/>
      <c r="K101" s="210"/>
    </row>
    <row r="102" spans="1:11" x14ac:dyDescent="0.2">
      <c r="A102" s="96" t="s">
        <v>134</v>
      </c>
      <c r="F102" s="86"/>
      <c r="K102" s="210"/>
    </row>
    <row r="103" spans="1:11" x14ac:dyDescent="0.2">
      <c r="A103" s="96" t="s">
        <v>206</v>
      </c>
      <c r="F103" s="86"/>
      <c r="K103" s="210"/>
    </row>
    <row r="104" spans="1:11" x14ac:dyDescent="0.2">
      <c r="A104" s="96"/>
      <c r="F104" s="86"/>
      <c r="K104" s="210"/>
    </row>
    <row r="105" spans="1:11" x14ac:dyDescent="0.2">
      <c r="A105" s="95"/>
      <c r="F105" s="86"/>
      <c r="K105" s="210"/>
    </row>
    <row r="106" spans="1:11" x14ac:dyDescent="0.2">
      <c r="A106" s="95"/>
      <c r="F106" s="86"/>
      <c r="K106" s="210"/>
    </row>
    <row r="107" spans="1:11" x14ac:dyDescent="0.2">
      <c r="A107" s="96"/>
      <c r="F107" s="86"/>
      <c r="K107" s="210"/>
    </row>
    <row r="108" spans="1:11" x14ac:dyDescent="0.2">
      <c r="A108" s="96"/>
      <c r="F108" s="86"/>
      <c r="K108" s="210"/>
    </row>
    <row r="109" spans="1:11" x14ac:dyDescent="0.2">
      <c r="A109" s="96"/>
      <c r="F109" s="86"/>
      <c r="K109" s="210"/>
    </row>
    <row r="110" spans="1:11" x14ac:dyDescent="0.2">
      <c r="A110" s="96"/>
      <c r="F110" s="86"/>
      <c r="K110" s="210"/>
    </row>
    <row r="111" spans="1:11" x14ac:dyDescent="0.2">
      <c r="F111" s="86"/>
    </row>
    <row r="112" spans="1:11" x14ac:dyDescent="0.2">
      <c r="F112" s="86"/>
    </row>
    <row r="113" spans="6:6" x14ac:dyDescent="0.2">
      <c r="F113" s="86"/>
    </row>
    <row r="114" spans="6:6" x14ac:dyDescent="0.2">
      <c r="F114" s="86"/>
    </row>
    <row r="115" spans="6:6" x14ac:dyDescent="0.2">
      <c r="F115" s="86"/>
    </row>
    <row r="116" spans="6:6" x14ac:dyDescent="0.2">
      <c r="F116" s="86"/>
    </row>
    <row r="117" spans="6:6" x14ac:dyDescent="0.2">
      <c r="F117" s="86"/>
    </row>
    <row r="118" spans="6:6" x14ac:dyDescent="0.2">
      <c r="F118" s="86"/>
    </row>
    <row r="119" spans="6:6" x14ac:dyDescent="0.2">
      <c r="F119" s="86"/>
    </row>
    <row r="120" spans="6:6" x14ac:dyDescent="0.2">
      <c r="F120" s="86"/>
    </row>
    <row r="121" spans="6:6" x14ac:dyDescent="0.2">
      <c r="F121" s="86"/>
    </row>
    <row r="122" spans="6:6" x14ac:dyDescent="0.2">
      <c r="F122" s="86"/>
    </row>
    <row r="123" spans="6:6" x14ac:dyDescent="0.2">
      <c r="F123" s="86"/>
    </row>
    <row r="124" spans="6:6" x14ac:dyDescent="0.2">
      <c r="F124" s="86"/>
    </row>
    <row r="125" spans="6:6" x14ac:dyDescent="0.2">
      <c r="F125" s="86"/>
    </row>
    <row r="126" spans="6:6" x14ac:dyDescent="0.2">
      <c r="F126" s="86"/>
    </row>
    <row r="127" spans="6:6" x14ac:dyDescent="0.2">
      <c r="F127" s="86"/>
    </row>
    <row r="128" spans="6:6" x14ac:dyDescent="0.2">
      <c r="F128" s="86"/>
    </row>
    <row r="129" spans="6:6" x14ac:dyDescent="0.2">
      <c r="F129" s="86"/>
    </row>
    <row r="130" spans="6:6" x14ac:dyDescent="0.2">
      <c r="F130" s="86"/>
    </row>
    <row r="131" spans="6:6" x14ac:dyDescent="0.2">
      <c r="F131" s="86"/>
    </row>
    <row r="132" spans="6:6" x14ac:dyDescent="0.2">
      <c r="F132" s="86"/>
    </row>
    <row r="133" spans="6:6" x14ac:dyDescent="0.2">
      <c r="F133" s="86"/>
    </row>
    <row r="134" spans="6:6" x14ac:dyDescent="0.2">
      <c r="F134" s="86"/>
    </row>
    <row r="135" spans="6:6" x14ac:dyDescent="0.2">
      <c r="F135" s="86"/>
    </row>
    <row r="136" spans="6:6" x14ac:dyDescent="0.2">
      <c r="F136" s="86"/>
    </row>
    <row r="137" spans="6:6" x14ac:dyDescent="0.2">
      <c r="F137" s="86"/>
    </row>
    <row r="138" spans="6:6" x14ac:dyDescent="0.2">
      <c r="F138" s="86"/>
    </row>
    <row r="139" spans="6:6" x14ac:dyDescent="0.2">
      <c r="F139" s="86"/>
    </row>
    <row r="140" spans="6:6" x14ac:dyDescent="0.2">
      <c r="F140" s="86"/>
    </row>
    <row r="141" spans="6:6" x14ac:dyDescent="0.2">
      <c r="F141" s="86"/>
    </row>
    <row r="142" spans="6:6" x14ac:dyDescent="0.2">
      <c r="F142" s="86"/>
    </row>
    <row r="143" spans="6:6" x14ac:dyDescent="0.2">
      <c r="F143" s="86"/>
    </row>
    <row r="144" spans="6:6" x14ac:dyDescent="0.2">
      <c r="F144" s="86"/>
    </row>
    <row r="145" spans="6:6" x14ac:dyDescent="0.2">
      <c r="F145" s="86"/>
    </row>
    <row r="146" spans="6:6" x14ac:dyDescent="0.2">
      <c r="F146" s="86"/>
    </row>
    <row r="147" spans="6:6" x14ac:dyDescent="0.2">
      <c r="F147" s="86"/>
    </row>
    <row r="148" spans="6:6" x14ac:dyDescent="0.2">
      <c r="F148" s="86"/>
    </row>
    <row r="149" spans="6:6" x14ac:dyDescent="0.2">
      <c r="F149" s="86"/>
    </row>
    <row r="150" spans="6:6" x14ac:dyDescent="0.2">
      <c r="F150" s="86"/>
    </row>
    <row r="151" spans="6:6" x14ac:dyDescent="0.2">
      <c r="F151" s="86"/>
    </row>
    <row r="152" spans="6:6" x14ac:dyDescent="0.2">
      <c r="F152" s="86"/>
    </row>
    <row r="153" spans="6:6" x14ac:dyDescent="0.2">
      <c r="F153" s="86"/>
    </row>
    <row r="154" spans="6:6" x14ac:dyDescent="0.2">
      <c r="F154" s="86"/>
    </row>
    <row r="155" spans="6:6" x14ac:dyDescent="0.2">
      <c r="F155" s="86"/>
    </row>
    <row r="156" spans="6:6" x14ac:dyDescent="0.2">
      <c r="F156" s="86"/>
    </row>
    <row r="157" spans="6:6" x14ac:dyDescent="0.2">
      <c r="F157" s="86"/>
    </row>
    <row r="158" spans="6:6" x14ac:dyDescent="0.2">
      <c r="F158" s="86"/>
    </row>
    <row r="159" spans="6:6" x14ac:dyDescent="0.2">
      <c r="F159" s="86"/>
    </row>
    <row r="160" spans="6:6" x14ac:dyDescent="0.2">
      <c r="F160" s="86"/>
    </row>
    <row r="161" spans="6:6" x14ac:dyDescent="0.2">
      <c r="F161" s="86"/>
    </row>
    <row r="162" spans="6:6" x14ac:dyDescent="0.2">
      <c r="F162" s="86"/>
    </row>
    <row r="163" spans="6:6" x14ac:dyDescent="0.2">
      <c r="F163" s="86"/>
    </row>
    <row r="164" spans="6:6" x14ac:dyDescent="0.2">
      <c r="F164" s="86"/>
    </row>
    <row r="165" spans="6:6" x14ac:dyDescent="0.2">
      <c r="F165" s="86"/>
    </row>
    <row r="166" spans="6:6" x14ac:dyDescent="0.2">
      <c r="F166" s="86"/>
    </row>
    <row r="167" spans="6:6" x14ac:dyDescent="0.2">
      <c r="F167" s="86"/>
    </row>
    <row r="168" spans="6:6" x14ac:dyDescent="0.2">
      <c r="F168" s="86"/>
    </row>
    <row r="169" spans="6:6" x14ac:dyDescent="0.2">
      <c r="F169" s="86"/>
    </row>
    <row r="170" spans="6:6" x14ac:dyDescent="0.2">
      <c r="F170" s="86"/>
    </row>
    <row r="171" spans="6:6" x14ac:dyDescent="0.2">
      <c r="F171" s="86"/>
    </row>
    <row r="172" spans="6:6" x14ac:dyDescent="0.2">
      <c r="F172" s="86"/>
    </row>
    <row r="173" spans="6:6" x14ac:dyDescent="0.2">
      <c r="F173" s="86"/>
    </row>
    <row r="174" spans="6:6" x14ac:dyDescent="0.2">
      <c r="F174" s="86"/>
    </row>
    <row r="175" spans="6:6" x14ac:dyDescent="0.2">
      <c r="F175" s="86"/>
    </row>
    <row r="176" spans="6:6" x14ac:dyDescent="0.2">
      <c r="F176" s="86"/>
    </row>
    <row r="177" spans="6:6" x14ac:dyDescent="0.2">
      <c r="F177" s="86"/>
    </row>
    <row r="178" spans="6:6" x14ac:dyDescent="0.2">
      <c r="F178" s="86"/>
    </row>
    <row r="179" spans="6:6" x14ac:dyDescent="0.2">
      <c r="F179" s="86"/>
    </row>
    <row r="180" spans="6:6" x14ac:dyDescent="0.2">
      <c r="F180" s="86"/>
    </row>
    <row r="181" spans="6:6" x14ac:dyDescent="0.2">
      <c r="F181" s="86"/>
    </row>
    <row r="182" spans="6:6" x14ac:dyDescent="0.2">
      <c r="F182" s="86"/>
    </row>
    <row r="183" spans="6:6" x14ac:dyDescent="0.2">
      <c r="F183" s="86"/>
    </row>
    <row r="184" spans="6:6" x14ac:dyDescent="0.2">
      <c r="F184" s="86"/>
    </row>
    <row r="185" spans="6:6" x14ac:dyDescent="0.2">
      <c r="F185" s="86"/>
    </row>
    <row r="186" spans="6:6" x14ac:dyDescent="0.2">
      <c r="F186" s="86"/>
    </row>
    <row r="187" spans="6:6" x14ac:dyDescent="0.2">
      <c r="F187" s="86"/>
    </row>
    <row r="188" spans="6:6" x14ac:dyDescent="0.2">
      <c r="F188" s="86"/>
    </row>
    <row r="189" spans="6:6" x14ac:dyDescent="0.2">
      <c r="F189" s="86"/>
    </row>
    <row r="190" spans="6:6" x14ac:dyDescent="0.2">
      <c r="F190" s="86"/>
    </row>
    <row r="191" spans="6:6" x14ac:dyDescent="0.2">
      <c r="F191" s="86"/>
    </row>
    <row r="192" spans="6:6" x14ac:dyDescent="0.2">
      <c r="F192" s="86"/>
    </row>
    <row r="193" spans="6:6" x14ac:dyDescent="0.2">
      <c r="F193" s="86"/>
    </row>
    <row r="194" spans="6:6" x14ac:dyDescent="0.2">
      <c r="F194" s="86"/>
    </row>
    <row r="195" spans="6:6" x14ac:dyDescent="0.2">
      <c r="F195" s="86"/>
    </row>
    <row r="196" spans="6:6" x14ac:dyDescent="0.2">
      <c r="F196" s="86"/>
    </row>
    <row r="197" spans="6:6" x14ac:dyDescent="0.2">
      <c r="F197" s="86"/>
    </row>
    <row r="198" spans="6:6" x14ac:dyDescent="0.2">
      <c r="F198" s="86"/>
    </row>
    <row r="199" spans="6:6" x14ac:dyDescent="0.2">
      <c r="F199" s="86"/>
    </row>
    <row r="200" spans="6:6" x14ac:dyDescent="0.2">
      <c r="F200" s="86"/>
    </row>
    <row r="201" spans="6:6" x14ac:dyDescent="0.2">
      <c r="F201" s="86"/>
    </row>
    <row r="202" spans="6:6" x14ac:dyDescent="0.2">
      <c r="F202" s="86"/>
    </row>
    <row r="203" spans="6:6" x14ac:dyDescent="0.2">
      <c r="F203" s="86"/>
    </row>
    <row r="204" spans="6:6" x14ac:dyDescent="0.2">
      <c r="F204" s="86"/>
    </row>
    <row r="205" spans="6:6" x14ac:dyDescent="0.2">
      <c r="F205" s="86"/>
    </row>
    <row r="206" spans="6:6" x14ac:dyDescent="0.2">
      <c r="F206" s="86"/>
    </row>
    <row r="207" spans="6:6" x14ac:dyDescent="0.2">
      <c r="F207" s="86"/>
    </row>
    <row r="208" spans="6:6" x14ac:dyDescent="0.2">
      <c r="F208" s="86"/>
    </row>
    <row r="209" spans="6:6" x14ac:dyDescent="0.2">
      <c r="F209" s="86"/>
    </row>
    <row r="210" spans="6:6" x14ac:dyDescent="0.2">
      <c r="F210" s="86"/>
    </row>
    <row r="211" spans="6:6" x14ac:dyDescent="0.2">
      <c r="F211" s="86"/>
    </row>
    <row r="212" spans="6:6" x14ac:dyDescent="0.2">
      <c r="F212" s="86"/>
    </row>
    <row r="213" spans="6:6" x14ac:dyDescent="0.2">
      <c r="F213" s="86"/>
    </row>
    <row r="214" spans="6:6" x14ac:dyDescent="0.2">
      <c r="F214" s="86"/>
    </row>
    <row r="215" spans="6:6" x14ac:dyDescent="0.2">
      <c r="F215" s="86"/>
    </row>
    <row r="216" spans="6:6" x14ac:dyDescent="0.2">
      <c r="F216" s="86"/>
    </row>
    <row r="217" spans="6:6" x14ac:dyDescent="0.2">
      <c r="F217" s="86"/>
    </row>
    <row r="218" spans="6:6" x14ac:dyDescent="0.2">
      <c r="F218" s="86"/>
    </row>
    <row r="219" spans="6:6" x14ac:dyDescent="0.2">
      <c r="F219" s="86"/>
    </row>
    <row r="220" spans="6:6" x14ac:dyDescent="0.2">
      <c r="F220" s="86"/>
    </row>
    <row r="221" spans="6:6" x14ac:dyDescent="0.2">
      <c r="F221" s="86"/>
    </row>
    <row r="222" spans="6:6" x14ac:dyDescent="0.2">
      <c r="F222" s="86"/>
    </row>
    <row r="223" spans="6:6" x14ac:dyDescent="0.2">
      <c r="F223" s="86"/>
    </row>
    <row r="224" spans="6:6" x14ac:dyDescent="0.2">
      <c r="F224" s="86"/>
    </row>
    <row r="225" spans="6:6" x14ac:dyDescent="0.2">
      <c r="F225" s="86"/>
    </row>
    <row r="226" spans="6:6" x14ac:dyDescent="0.2">
      <c r="F226" s="86"/>
    </row>
    <row r="227" spans="6:6" x14ac:dyDescent="0.2">
      <c r="F227" s="86"/>
    </row>
    <row r="228" spans="6:6" x14ac:dyDescent="0.2">
      <c r="F228" s="86"/>
    </row>
    <row r="229" spans="6:6" x14ac:dyDescent="0.2">
      <c r="F229" s="86"/>
    </row>
    <row r="230" spans="6:6" x14ac:dyDescent="0.2">
      <c r="F230" s="86"/>
    </row>
    <row r="231" spans="6:6" x14ac:dyDescent="0.2">
      <c r="F231" s="86"/>
    </row>
    <row r="232" spans="6:6" x14ac:dyDescent="0.2">
      <c r="F232" s="86"/>
    </row>
    <row r="233" spans="6:6" x14ac:dyDescent="0.2">
      <c r="F233" s="86"/>
    </row>
    <row r="234" spans="6:6" x14ac:dyDescent="0.2">
      <c r="F234" s="86"/>
    </row>
    <row r="235" spans="6:6" x14ac:dyDescent="0.2">
      <c r="F235" s="86"/>
    </row>
    <row r="236" spans="6:6" x14ac:dyDescent="0.2">
      <c r="F236" s="86"/>
    </row>
    <row r="237" spans="6:6" x14ac:dyDescent="0.2">
      <c r="F237" s="86"/>
    </row>
    <row r="238" spans="6:6" x14ac:dyDescent="0.2">
      <c r="F238" s="86"/>
    </row>
    <row r="239" spans="6:6" x14ac:dyDescent="0.2">
      <c r="F239" s="86"/>
    </row>
    <row r="240" spans="6:6" x14ac:dyDescent="0.2">
      <c r="F240" s="86"/>
    </row>
    <row r="241" spans="6:6" x14ac:dyDescent="0.2">
      <c r="F241" s="86"/>
    </row>
    <row r="242" spans="6:6" x14ac:dyDescent="0.2">
      <c r="F242" s="86"/>
    </row>
    <row r="243" spans="6:6" x14ac:dyDescent="0.2">
      <c r="F243" s="86"/>
    </row>
    <row r="244" spans="6:6" x14ac:dyDescent="0.2">
      <c r="F244" s="86"/>
    </row>
    <row r="245" spans="6:6" x14ac:dyDescent="0.2">
      <c r="F245" s="86"/>
    </row>
    <row r="246" spans="6:6" x14ac:dyDescent="0.2">
      <c r="F246" s="86"/>
    </row>
    <row r="247" spans="6:6" x14ac:dyDescent="0.2">
      <c r="F247" s="86"/>
    </row>
    <row r="248" spans="6:6" x14ac:dyDescent="0.2">
      <c r="F248" s="86"/>
    </row>
    <row r="249" spans="6:6" x14ac:dyDescent="0.2">
      <c r="F249" s="86"/>
    </row>
    <row r="250" spans="6:6" x14ac:dyDescent="0.2">
      <c r="F250" s="86"/>
    </row>
    <row r="251" spans="6:6" x14ac:dyDescent="0.2">
      <c r="F251" s="86"/>
    </row>
    <row r="252" spans="6:6" x14ac:dyDescent="0.2">
      <c r="F252" s="86"/>
    </row>
    <row r="253" spans="6:6" x14ac:dyDescent="0.2">
      <c r="F253" s="86"/>
    </row>
    <row r="254" spans="6:6" x14ac:dyDescent="0.2">
      <c r="F254" s="86"/>
    </row>
    <row r="255" spans="6:6" x14ac:dyDescent="0.2">
      <c r="F255" s="86"/>
    </row>
    <row r="256" spans="6:6" x14ac:dyDescent="0.2">
      <c r="F256" s="86"/>
    </row>
    <row r="257" spans="6:6" x14ac:dyDescent="0.2">
      <c r="F257" s="86"/>
    </row>
    <row r="258" spans="6:6" x14ac:dyDescent="0.2">
      <c r="F258" s="86"/>
    </row>
    <row r="259" spans="6:6" x14ac:dyDescent="0.2">
      <c r="F259" s="86"/>
    </row>
    <row r="260" spans="6:6" x14ac:dyDescent="0.2">
      <c r="F260" s="86"/>
    </row>
    <row r="261" spans="6:6" x14ac:dyDescent="0.2">
      <c r="F261" s="86"/>
    </row>
    <row r="262" spans="6:6" x14ac:dyDescent="0.2">
      <c r="F262" s="86"/>
    </row>
    <row r="263" spans="6:6" x14ac:dyDescent="0.2">
      <c r="F263" s="86"/>
    </row>
    <row r="264" spans="6:6" x14ac:dyDescent="0.2">
      <c r="F264" s="86"/>
    </row>
    <row r="265" spans="6:6" x14ac:dyDescent="0.2">
      <c r="F265" s="86"/>
    </row>
    <row r="266" spans="6:6" x14ac:dyDescent="0.2">
      <c r="F266" s="86"/>
    </row>
    <row r="267" spans="6:6" x14ac:dyDescent="0.2">
      <c r="F267" s="86"/>
    </row>
    <row r="268" spans="6:6" x14ac:dyDescent="0.2">
      <c r="F268" s="86"/>
    </row>
    <row r="269" spans="6:6" x14ac:dyDescent="0.2">
      <c r="F269" s="86"/>
    </row>
    <row r="270" spans="6:6" x14ac:dyDescent="0.2">
      <c r="F270" s="86"/>
    </row>
    <row r="271" spans="6:6" x14ac:dyDescent="0.2">
      <c r="F271" s="86"/>
    </row>
    <row r="272" spans="6:6" x14ac:dyDescent="0.2">
      <c r="F272" s="86"/>
    </row>
    <row r="273" spans="6:6" x14ac:dyDescent="0.2">
      <c r="F273" s="86"/>
    </row>
    <row r="274" spans="6:6" x14ac:dyDescent="0.2">
      <c r="F274" s="86"/>
    </row>
    <row r="275" spans="6:6" x14ac:dyDescent="0.2">
      <c r="F275" s="86"/>
    </row>
    <row r="276" spans="6:6" x14ac:dyDescent="0.2">
      <c r="F276" s="86"/>
    </row>
    <row r="277" spans="6:6" x14ac:dyDescent="0.2">
      <c r="F277" s="86"/>
    </row>
    <row r="278" spans="6:6" x14ac:dyDescent="0.2">
      <c r="F278" s="86"/>
    </row>
    <row r="279" spans="6:6" x14ac:dyDescent="0.2">
      <c r="F279" s="86"/>
    </row>
    <row r="280" spans="6:6" x14ac:dyDescent="0.2">
      <c r="F280" s="86"/>
    </row>
    <row r="281" spans="6:6" x14ac:dyDescent="0.2">
      <c r="F281" s="86"/>
    </row>
    <row r="282" spans="6:6" x14ac:dyDescent="0.2">
      <c r="F282" s="86"/>
    </row>
    <row r="283" spans="6:6" x14ac:dyDescent="0.2">
      <c r="F283" s="86"/>
    </row>
    <row r="284" spans="6:6" x14ac:dyDescent="0.2">
      <c r="F284" s="86"/>
    </row>
    <row r="285" spans="6:6" x14ac:dyDescent="0.2">
      <c r="F285" s="86"/>
    </row>
    <row r="286" spans="6:6" x14ac:dyDescent="0.2">
      <c r="F286" s="86"/>
    </row>
    <row r="287" spans="6:6" x14ac:dyDescent="0.2">
      <c r="F287" s="86"/>
    </row>
    <row r="288" spans="6:6" x14ac:dyDescent="0.2">
      <c r="F288" s="86"/>
    </row>
    <row r="289" spans="6:6" x14ac:dyDescent="0.2">
      <c r="F289" s="86"/>
    </row>
    <row r="290" spans="6:6" x14ac:dyDescent="0.2">
      <c r="F290" s="86"/>
    </row>
    <row r="291" spans="6:6" x14ac:dyDescent="0.2">
      <c r="F291" s="86"/>
    </row>
    <row r="292" spans="6:6" x14ac:dyDescent="0.2">
      <c r="F292" s="86"/>
    </row>
    <row r="293" spans="6:6" x14ac:dyDescent="0.2">
      <c r="F293" s="86"/>
    </row>
    <row r="294" spans="6:6" x14ac:dyDescent="0.2">
      <c r="F294" s="86"/>
    </row>
    <row r="295" spans="6:6" x14ac:dyDescent="0.2">
      <c r="F295" s="86"/>
    </row>
    <row r="296" spans="6:6" x14ac:dyDescent="0.2">
      <c r="F296" s="86"/>
    </row>
    <row r="297" spans="6:6" x14ac:dyDescent="0.2">
      <c r="F297" s="86"/>
    </row>
    <row r="298" spans="6:6" x14ac:dyDescent="0.2">
      <c r="F298" s="86"/>
    </row>
    <row r="299" spans="6:6" x14ac:dyDescent="0.2">
      <c r="F299" s="86"/>
    </row>
    <row r="300" spans="6:6" x14ac:dyDescent="0.2">
      <c r="F300" s="86"/>
    </row>
    <row r="301" spans="6:6" x14ac:dyDescent="0.2">
      <c r="F301" s="86"/>
    </row>
    <row r="302" spans="6:6" x14ac:dyDescent="0.2">
      <c r="F302" s="86"/>
    </row>
    <row r="303" spans="6:6" x14ac:dyDescent="0.2">
      <c r="F303" s="86"/>
    </row>
    <row r="304" spans="6:6" x14ac:dyDescent="0.2">
      <c r="F304" s="86"/>
    </row>
    <row r="305" spans="6:6" x14ac:dyDescent="0.2">
      <c r="F305" s="86"/>
    </row>
    <row r="306" spans="6:6" x14ac:dyDescent="0.2">
      <c r="F306" s="86"/>
    </row>
    <row r="307" spans="6:6" x14ac:dyDescent="0.2">
      <c r="F307" s="86"/>
    </row>
    <row r="308" spans="6:6" x14ac:dyDescent="0.2">
      <c r="F308" s="86"/>
    </row>
    <row r="309" spans="6:6" x14ac:dyDescent="0.2">
      <c r="F309" s="86"/>
    </row>
    <row r="310" spans="6:6" x14ac:dyDescent="0.2">
      <c r="F310" s="86"/>
    </row>
    <row r="311" spans="6:6" x14ac:dyDescent="0.2">
      <c r="F311" s="86"/>
    </row>
    <row r="312" spans="6:6" x14ac:dyDescent="0.2">
      <c r="F312" s="86"/>
    </row>
    <row r="313" spans="6:6" x14ac:dyDescent="0.2">
      <c r="F313" s="86"/>
    </row>
    <row r="314" spans="6:6" x14ac:dyDescent="0.2">
      <c r="F314" s="86"/>
    </row>
    <row r="315" spans="6:6" x14ac:dyDescent="0.2">
      <c r="F315" s="86"/>
    </row>
    <row r="316" spans="6:6" x14ac:dyDescent="0.2">
      <c r="F316" s="86"/>
    </row>
    <row r="317" spans="6:6" x14ac:dyDescent="0.2">
      <c r="F317" s="86"/>
    </row>
    <row r="318" spans="6:6" x14ac:dyDescent="0.2">
      <c r="F318" s="86"/>
    </row>
    <row r="319" spans="6:6" x14ac:dyDescent="0.2">
      <c r="F319" s="86"/>
    </row>
    <row r="320" spans="6:6" x14ac:dyDescent="0.2">
      <c r="F320" s="86"/>
    </row>
    <row r="321" spans="6:6" x14ac:dyDescent="0.2">
      <c r="F321" s="86"/>
    </row>
    <row r="322" spans="6:6" x14ac:dyDescent="0.2">
      <c r="F322" s="86"/>
    </row>
    <row r="323" spans="6:6" x14ac:dyDescent="0.2">
      <c r="F323" s="86"/>
    </row>
    <row r="324" spans="6:6" x14ac:dyDescent="0.2">
      <c r="F324" s="86"/>
    </row>
    <row r="325" spans="6:6" x14ac:dyDescent="0.2">
      <c r="F325" s="86"/>
    </row>
    <row r="326" spans="6:6" x14ac:dyDescent="0.2">
      <c r="F326" s="86"/>
    </row>
    <row r="327" spans="6:6" x14ac:dyDescent="0.2">
      <c r="F327" s="86"/>
    </row>
    <row r="328" spans="6:6" x14ac:dyDescent="0.2">
      <c r="F328" s="86"/>
    </row>
    <row r="329" spans="6:6" x14ac:dyDescent="0.2">
      <c r="F329" s="86"/>
    </row>
    <row r="330" spans="6:6" x14ac:dyDescent="0.2">
      <c r="F330" s="86"/>
    </row>
    <row r="331" spans="6:6" x14ac:dyDescent="0.2">
      <c r="F331" s="86"/>
    </row>
    <row r="332" spans="6:6" x14ac:dyDescent="0.2">
      <c r="F332" s="86"/>
    </row>
    <row r="333" spans="6:6" x14ac:dyDescent="0.2">
      <c r="F333" s="86"/>
    </row>
    <row r="334" spans="6:6" x14ac:dyDescent="0.2">
      <c r="F334" s="86"/>
    </row>
    <row r="335" spans="6:6" x14ac:dyDescent="0.2">
      <c r="F335" s="86"/>
    </row>
    <row r="336" spans="6:6" x14ac:dyDescent="0.2">
      <c r="F336" s="86"/>
    </row>
    <row r="337" spans="6:6" x14ac:dyDescent="0.2">
      <c r="F337" s="86"/>
    </row>
    <row r="338" spans="6:6" x14ac:dyDescent="0.2">
      <c r="F338" s="86"/>
    </row>
    <row r="339" spans="6:6" x14ac:dyDescent="0.2">
      <c r="F339" s="86"/>
    </row>
    <row r="340" spans="6:6" x14ac:dyDescent="0.2">
      <c r="F340" s="86"/>
    </row>
    <row r="341" spans="6:6" x14ac:dyDescent="0.2">
      <c r="F341" s="86"/>
    </row>
    <row r="342" spans="6:6" x14ac:dyDescent="0.2">
      <c r="F342" s="86"/>
    </row>
    <row r="343" spans="6:6" x14ac:dyDescent="0.2">
      <c r="F343" s="86"/>
    </row>
    <row r="344" spans="6:6" x14ac:dyDescent="0.2">
      <c r="F344" s="86"/>
    </row>
    <row r="345" spans="6:6" x14ac:dyDescent="0.2">
      <c r="F345" s="86"/>
    </row>
    <row r="346" spans="6:6" x14ac:dyDescent="0.2">
      <c r="F346" s="86"/>
    </row>
    <row r="347" spans="6:6" x14ac:dyDescent="0.2">
      <c r="F347" s="86"/>
    </row>
    <row r="348" spans="6:6" x14ac:dyDescent="0.2">
      <c r="F348" s="86"/>
    </row>
    <row r="349" spans="6:6" x14ac:dyDescent="0.2">
      <c r="F349" s="86"/>
    </row>
    <row r="350" spans="6:6" x14ac:dyDescent="0.2">
      <c r="F350" s="86"/>
    </row>
    <row r="351" spans="6:6" x14ac:dyDescent="0.2">
      <c r="F351" s="86"/>
    </row>
    <row r="352" spans="6:6" x14ac:dyDescent="0.2">
      <c r="F352" s="86"/>
    </row>
    <row r="353" spans="6:6" x14ac:dyDescent="0.2">
      <c r="F353" s="86"/>
    </row>
    <row r="354" spans="6:6" x14ac:dyDescent="0.2">
      <c r="F354" s="86"/>
    </row>
    <row r="355" spans="6:6" x14ac:dyDescent="0.2">
      <c r="F355" s="86"/>
    </row>
    <row r="356" spans="6:6" x14ac:dyDescent="0.2">
      <c r="F356" s="86"/>
    </row>
    <row r="357" spans="6:6" x14ac:dyDescent="0.2">
      <c r="F357" s="86"/>
    </row>
    <row r="358" spans="6:6" x14ac:dyDescent="0.2">
      <c r="F358" s="86"/>
    </row>
    <row r="359" spans="6:6" x14ac:dyDescent="0.2">
      <c r="F359" s="86"/>
    </row>
    <row r="360" spans="6:6" x14ac:dyDescent="0.2">
      <c r="F360" s="86"/>
    </row>
    <row r="361" spans="6:6" x14ac:dyDescent="0.2">
      <c r="F361" s="86"/>
    </row>
    <row r="362" spans="6:6" x14ac:dyDescent="0.2">
      <c r="F362" s="86"/>
    </row>
    <row r="363" spans="6:6" x14ac:dyDescent="0.2">
      <c r="F363" s="86"/>
    </row>
    <row r="364" spans="6:6" x14ac:dyDescent="0.2">
      <c r="F364" s="86"/>
    </row>
    <row r="365" spans="6:6" x14ac:dyDescent="0.2">
      <c r="F365" s="86"/>
    </row>
    <row r="366" spans="6:6" x14ac:dyDescent="0.2">
      <c r="F366" s="86"/>
    </row>
    <row r="367" spans="6:6" x14ac:dyDescent="0.2">
      <c r="F367" s="86"/>
    </row>
    <row r="368" spans="6:6" x14ac:dyDescent="0.2">
      <c r="F368" s="86"/>
    </row>
    <row r="369" spans="6:6" x14ac:dyDescent="0.2">
      <c r="F369" s="86"/>
    </row>
    <row r="370" spans="6:6" x14ac:dyDescent="0.2">
      <c r="F370" s="86"/>
    </row>
    <row r="371" spans="6:6" x14ac:dyDescent="0.2">
      <c r="F371" s="86"/>
    </row>
    <row r="372" spans="6:6" x14ac:dyDescent="0.2">
      <c r="F372" s="86"/>
    </row>
    <row r="373" spans="6:6" x14ac:dyDescent="0.2">
      <c r="F373" s="86"/>
    </row>
    <row r="374" spans="6:6" x14ac:dyDescent="0.2">
      <c r="F374" s="86"/>
    </row>
    <row r="375" spans="6:6" x14ac:dyDescent="0.2">
      <c r="F375" s="86"/>
    </row>
    <row r="376" spans="6:6" x14ac:dyDescent="0.2">
      <c r="F376" s="86"/>
    </row>
    <row r="377" spans="6:6" x14ac:dyDescent="0.2">
      <c r="F377" s="86"/>
    </row>
    <row r="378" spans="6:6" x14ac:dyDescent="0.2">
      <c r="F378" s="86"/>
    </row>
    <row r="379" spans="6:6" x14ac:dyDescent="0.2">
      <c r="F379" s="86"/>
    </row>
    <row r="380" spans="6:6" x14ac:dyDescent="0.2">
      <c r="F380" s="86"/>
    </row>
    <row r="381" spans="6:6" x14ac:dyDescent="0.2">
      <c r="F381" s="86"/>
    </row>
    <row r="382" spans="6:6" x14ac:dyDescent="0.2">
      <c r="F382" s="86"/>
    </row>
    <row r="383" spans="6:6" x14ac:dyDescent="0.2">
      <c r="F383" s="86"/>
    </row>
    <row r="384" spans="6:6" x14ac:dyDescent="0.2">
      <c r="F384" s="86"/>
    </row>
    <row r="385" spans="6:6" x14ac:dyDescent="0.2">
      <c r="F385" s="86"/>
    </row>
    <row r="386" spans="6:6" x14ac:dyDescent="0.2">
      <c r="F386" s="86"/>
    </row>
    <row r="387" spans="6:6" x14ac:dyDescent="0.2">
      <c r="F387" s="86"/>
    </row>
    <row r="388" spans="6:6" x14ac:dyDescent="0.2">
      <c r="F388" s="86"/>
    </row>
    <row r="389" spans="6:6" x14ac:dyDescent="0.2">
      <c r="F389" s="86"/>
    </row>
    <row r="390" spans="6:6" x14ac:dyDescent="0.2">
      <c r="F390" s="86"/>
    </row>
    <row r="391" spans="6:6" x14ac:dyDescent="0.2">
      <c r="F391" s="86"/>
    </row>
    <row r="392" spans="6:6" x14ac:dyDescent="0.2">
      <c r="F392" s="86"/>
    </row>
    <row r="393" spans="6:6" x14ac:dyDescent="0.2">
      <c r="F393" s="86"/>
    </row>
    <row r="394" spans="6:6" x14ac:dyDescent="0.2">
      <c r="F394" s="86"/>
    </row>
    <row r="395" spans="6:6" x14ac:dyDescent="0.2">
      <c r="F395" s="86"/>
    </row>
    <row r="396" spans="6:6" x14ac:dyDescent="0.2">
      <c r="F396" s="86"/>
    </row>
    <row r="397" spans="6:6" x14ac:dyDescent="0.2">
      <c r="F397" s="86"/>
    </row>
    <row r="398" spans="6:6" x14ac:dyDescent="0.2">
      <c r="F398" s="86"/>
    </row>
    <row r="399" spans="6:6" x14ac:dyDescent="0.2">
      <c r="F399" s="86"/>
    </row>
    <row r="400" spans="6:6" x14ac:dyDescent="0.2">
      <c r="F400" s="86"/>
    </row>
    <row r="401" spans="6:6" x14ac:dyDescent="0.2">
      <c r="F401" s="86"/>
    </row>
    <row r="402" spans="6:6" x14ac:dyDescent="0.2">
      <c r="F402" s="86"/>
    </row>
    <row r="403" spans="6:6" x14ac:dyDescent="0.2">
      <c r="F403" s="86"/>
    </row>
    <row r="404" spans="6:6" x14ac:dyDescent="0.2">
      <c r="F404" s="86"/>
    </row>
    <row r="405" spans="6:6" x14ac:dyDescent="0.2">
      <c r="F405" s="86"/>
    </row>
    <row r="406" spans="6:6" x14ac:dyDescent="0.2">
      <c r="F406" s="86"/>
    </row>
    <row r="407" spans="6:6" x14ac:dyDescent="0.2">
      <c r="F407" s="86"/>
    </row>
    <row r="408" spans="6:6" x14ac:dyDescent="0.2">
      <c r="F408" s="86"/>
    </row>
    <row r="409" spans="6:6" x14ac:dyDescent="0.2">
      <c r="F409" s="86"/>
    </row>
    <row r="410" spans="6:6" x14ac:dyDescent="0.2">
      <c r="F410" s="86"/>
    </row>
    <row r="411" spans="6:6" x14ac:dyDescent="0.2">
      <c r="F411" s="86"/>
    </row>
    <row r="412" spans="6:6" x14ac:dyDescent="0.2">
      <c r="F412" s="86"/>
    </row>
    <row r="413" spans="6:6" x14ac:dyDescent="0.2">
      <c r="F413" s="86"/>
    </row>
    <row r="414" spans="6:6" x14ac:dyDescent="0.2">
      <c r="F414" s="86"/>
    </row>
    <row r="415" spans="6:6" x14ac:dyDescent="0.2">
      <c r="F415" s="86"/>
    </row>
    <row r="416" spans="6:6" x14ac:dyDescent="0.2">
      <c r="F416" s="86"/>
    </row>
    <row r="417" spans="6:6" x14ac:dyDescent="0.2">
      <c r="F417" s="86"/>
    </row>
    <row r="418" spans="6:6" x14ac:dyDescent="0.2">
      <c r="F418" s="86"/>
    </row>
    <row r="419" spans="6:6" x14ac:dyDescent="0.2">
      <c r="F419" s="86"/>
    </row>
    <row r="420" spans="6:6" x14ac:dyDescent="0.2">
      <c r="F420" s="86"/>
    </row>
    <row r="421" spans="6:6" x14ac:dyDescent="0.2">
      <c r="F421" s="86"/>
    </row>
    <row r="422" spans="6:6" x14ac:dyDescent="0.2">
      <c r="F422" s="86"/>
    </row>
    <row r="423" spans="6:6" x14ac:dyDescent="0.2">
      <c r="F423" s="86"/>
    </row>
    <row r="424" spans="6:6" x14ac:dyDescent="0.2">
      <c r="F424" s="86"/>
    </row>
    <row r="425" spans="6:6" x14ac:dyDescent="0.2">
      <c r="F425" s="86"/>
    </row>
    <row r="426" spans="6:6" x14ac:dyDescent="0.2">
      <c r="F426" s="86"/>
    </row>
    <row r="427" spans="6:6" x14ac:dyDescent="0.2">
      <c r="F427" s="86"/>
    </row>
    <row r="428" spans="6:6" x14ac:dyDescent="0.2">
      <c r="F428" s="86"/>
    </row>
    <row r="429" spans="6:6" x14ac:dyDescent="0.2">
      <c r="F429" s="86"/>
    </row>
    <row r="430" spans="6:6" x14ac:dyDescent="0.2">
      <c r="F430" s="86"/>
    </row>
    <row r="431" spans="6:6" x14ac:dyDescent="0.2">
      <c r="F431" s="86"/>
    </row>
    <row r="432" spans="6:6" x14ac:dyDescent="0.2">
      <c r="F432" s="86"/>
    </row>
    <row r="433" spans="6:6" x14ac:dyDescent="0.2">
      <c r="F433" s="86"/>
    </row>
    <row r="434" spans="6:6" x14ac:dyDescent="0.2">
      <c r="F434" s="86"/>
    </row>
    <row r="435" spans="6:6" x14ac:dyDescent="0.2">
      <c r="F435" s="86"/>
    </row>
    <row r="436" spans="6:6" x14ac:dyDescent="0.2">
      <c r="F436" s="86"/>
    </row>
    <row r="437" spans="6:6" x14ac:dyDescent="0.2">
      <c r="F437" s="86"/>
    </row>
    <row r="438" spans="6:6" x14ac:dyDescent="0.2">
      <c r="F438" s="86"/>
    </row>
    <row r="439" spans="6:6" x14ac:dyDescent="0.2">
      <c r="F439" s="86"/>
    </row>
    <row r="440" spans="6:6" x14ac:dyDescent="0.2">
      <c r="F440" s="86"/>
    </row>
    <row r="441" spans="6:6" x14ac:dyDescent="0.2">
      <c r="F441" s="86"/>
    </row>
    <row r="442" spans="6:6" x14ac:dyDescent="0.2">
      <c r="F442" s="86"/>
    </row>
    <row r="443" spans="6:6" x14ac:dyDescent="0.2">
      <c r="F443" s="86"/>
    </row>
    <row r="444" spans="6:6" x14ac:dyDescent="0.2">
      <c r="F444" s="86"/>
    </row>
    <row r="445" spans="6:6" x14ac:dyDescent="0.2">
      <c r="F445" s="86"/>
    </row>
    <row r="446" spans="6:6" x14ac:dyDescent="0.2">
      <c r="F446" s="86"/>
    </row>
    <row r="447" spans="6:6" x14ac:dyDescent="0.2">
      <c r="F447" s="86"/>
    </row>
    <row r="448" spans="6:6" x14ac:dyDescent="0.2">
      <c r="F448" s="86"/>
    </row>
    <row r="449" spans="6:6" x14ac:dyDescent="0.2">
      <c r="F449" s="86"/>
    </row>
    <row r="450" spans="6:6" x14ac:dyDescent="0.2">
      <c r="F450" s="86"/>
    </row>
    <row r="451" spans="6:6" x14ac:dyDescent="0.2">
      <c r="F451" s="86"/>
    </row>
    <row r="452" spans="6:6" x14ac:dyDescent="0.2">
      <c r="F452" s="86"/>
    </row>
    <row r="453" spans="6:6" x14ac:dyDescent="0.2">
      <c r="F453" s="86"/>
    </row>
    <row r="454" spans="6:6" x14ac:dyDescent="0.2">
      <c r="F454" s="86"/>
    </row>
    <row r="455" spans="6:6" x14ac:dyDescent="0.2">
      <c r="F455" s="86"/>
    </row>
    <row r="456" spans="6:6" x14ac:dyDescent="0.2">
      <c r="F456" s="86"/>
    </row>
    <row r="457" spans="6:6" x14ac:dyDescent="0.2">
      <c r="F457" s="86"/>
    </row>
    <row r="458" spans="6:6" x14ac:dyDescent="0.2">
      <c r="F458" s="86"/>
    </row>
    <row r="459" spans="6:6" x14ac:dyDescent="0.2">
      <c r="F459" s="86"/>
    </row>
    <row r="460" spans="6:6" x14ac:dyDescent="0.2">
      <c r="F460" s="86"/>
    </row>
    <row r="461" spans="6:6" x14ac:dyDescent="0.2">
      <c r="F461" s="86"/>
    </row>
    <row r="462" spans="6:6" x14ac:dyDescent="0.2">
      <c r="F462" s="86"/>
    </row>
    <row r="463" spans="6:6" x14ac:dyDescent="0.2">
      <c r="F463" s="86"/>
    </row>
    <row r="464" spans="6:6" x14ac:dyDescent="0.2">
      <c r="F464" s="86"/>
    </row>
    <row r="465" spans="6:6" x14ac:dyDescent="0.2">
      <c r="F465" s="86"/>
    </row>
    <row r="466" spans="6:6" x14ac:dyDescent="0.2">
      <c r="F466" s="86"/>
    </row>
    <row r="467" spans="6:6" x14ac:dyDescent="0.2">
      <c r="F467" s="86"/>
    </row>
    <row r="468" spans="6:6" x14ac:dyDescent="0.2">
      <c r="F468" s="86"/>
    </row>
    <row r="469" spans="6:6" x14ac:dyDescent="0.2">
      <c r="F469" s="86"/>
    </row>
    <row r="470" spans="6:6" x14ac:dyDescent="0.2">
      <c r="F470" s="86"/>
    </row>
    <row r="471" spans="6:6" x14ac:dyDescent="0.2">
      <c r="F471" s="86"/>
    </row>
    <row r="472" spans="6:6" x14ac:dyDescent="0.2">
      <c r="F472" s="86"/>
    </row>
    <row r="473" spans="6:6" x14ac:dyDescent="0.2">
      <c r="F473" s="86"/>
    </row>
    <row r="474" spans="6:6" x14ac:dyDescent="0.2">
      <c r="F474" s="86"/>
    </row>
    <row r="475" spans="6:6" x14ac:dyDescent="0.2">
      <c r="F475" s="86"/>
    </row>
    <row r="476" spans="6:6" x14ac:dyDescent="0.2">
      <c r="F476" s="86"/>
    </row>
    <row r="477" spans="6:6" x14ac:dyDescent="0.2">
      <c r="F477" s="86"/>
    </row>
    <row r="478" spans="6:6" x14ac:dyDescent="0.2">
      <c r="F478" s="86"/>
    </row>
    <row r="479" spans="6:6" x14ac:dyDescent="0.2">
      <c r="F479" s="86"/>
    </row>
    <row r="480" spans="6:6" x14ac:dyDescent="0.2">
      <c r="F480" s="86"/>
    </row>
    <row r="481" spans="6:6" x14ac:dyDescent="0.2">
      <c r="F481" s="86"/>
    </row>
    <row r="482" spans="6:6" x14ac:dyDescent="0.2">
      <c r="F482" s="86"/>
    </row>
    <row r="483" spans="6:6" x14ac:dyDescent="0.2">
      <c r="F483" s="86"/>
    </row>
    <row r="484" spans="6:6" x14ac:dyDescent="0.2">
      <c r="F484" s="86"/>
    </row>
    <row r="485" spans="6:6" x14ac:dyDescent="0.2">
      <c r="F485" s="86"/>
    </row>
    <row r="486" spans="6:6" x14ac:dyDescent="0.2">
      <c r="F486" s="86"/>
    </row>
    <row r="487" spans="6:6" x14ac:dyDescent="0.2">
      <c r="F487" s="86"/>
    </row>
    <row r="488" spans="6:6" x14ac:dyDescent="0.2">
      <c r="F488" s="86"/>
    </row>
    <row r="489" spans="6:6" x14ac:dyDescent="0.2">
      <c r="F489" s="86"/>
    </row>
    <row r="490" spans="6:6" x14ac:dyDescent="0.2">
      <c r="F490" s="86"/>
    </row>
    <row r="491" spans="6:6" x14ac:dyDescent="0.2">
      <c r="F491" s="86"/>
    </row>
    <row r="492" spans="6:6" x14ac:dyDescent="0.2">
      <c r="F492" s="86"/>
    </row>
    <row r="493" spans="6:6" x14ac:dyDescent="0.2">
      <c r="F493" s="86"/>
    </row>
    <row r="494" spans="6:6" x14ac:dyDescent="0.2">
      <c r="F494" s="86"/>
    </row>
    <row r="495" spans="6:6" x14ac:dyDescent="0.2">
      <c r="F495" s="86"/>
    </row>
    <row r="496" spans="6:6" x14ac:dyDescent="0.2">
      <c r="F496" s="86"/>
    </row>
    <row r="497" spans="6:6" x14ac:dyDescent="0.2">
      <c r="F497" s="86"/>
    </row>
    <row r="498" spans="6:6" x14ac:dyDescent="0.2">
      <c r="F498" s="86"/>
    </row>
    <row r="499" spans="6:6" x14ac:dyDescent="0.2">
      <c r="F499" s="86"/>
    </row>
    <row r="500" spans="6:6" x14ac:dyDescent="0.2">
      <c r="F500" s="86"/>
    </row>
    <row r="501" spans="6:6" x14ac:dyDescent="0.2">
      <c r="F501" s="86"/>
    </row>
    <row r="502" spans="6:6" x14ac:dyDescent="0.2">
      <c r="F502" s="86"/>
    </row>
    <row r="503" spans="6:6" x14ac:dyDescent="0.2">
      <c r="F503" s="86"/>
    </row>
    <row r="504" spans="6:6" x14ac:dyDescent="0.2">
      <c r="F504" s="86"/>
    </row>
    <row r="505" spans="6:6" x14ac:dyDescent="0.2">
      <c r="F505" s="86"/>
    </row>
    <row r="506" spans="6:6" x14ac:dyDescent="0.2">
      <c r="F506" s="86"/>
    </row>
    <row r="507" spans="6:6" x14ac:dyDescent="0.2">
      <c r="F507" s="86"/>
    </row>
    <row r="508" spans="6:6" x14ac:dyDescent="0.2">
      <c r="F508" s="86"/>
    </row>
    <row r="509" spans="6:6" x14ac:dyDescent="0.2">
      <c r="F509" s="86"/>
    </row>
    <row r="510" spans="6:6" x14ac:dyDescent="0.2">
      <c r="F510" s="86"/>
    </row>
    <row r="511" spans="6:6" x14ac:dyDescent="0.2">
      <c r="F511" s="86"/>
    </row>
    <row r="512" spans="6:6" x14ac:dyDescent="0.2">
      <c r="F512" s="86"/>
    </row>
    <row r="513" spans="6:6" x14ac:dyDescent="0.2">
      <c r="F513" s="86"/>
    </row>
    <row r="514" spans="6:6" x14ac:dyDescent="0.2">
      <c r="F514" s="86"/>
    </row>
    <row r="515" spans="6:6" x14ac:dyDescent="0.2">
      <c r="F515" s="86"/>
    </row>
    <row r="516" spans="6:6" x14ac:dyDescent="0.2">
      <c r="F516" s="86"/>
    </row>
    <row r="517" spans="6:6" x14ac:dyDescent="0.2">
      <c r="F517" s="86"/>
    </row>
    <row r="518" spans="6:6" x14ac:dyDescent="0.2">
      <c r="F518" s="86"/>
    </row>
    <row r="519" spans="6:6" x14ac:dyDescent="0.2">
      <c r="F519" s="86"/>
    </row>
    <row r="520" spans="6:6" x14ac:dyDescent="0.2">
      <c r="F520" s="86"/>
    </row>
    <row r="521" spans="6:6" x14ac:dyDescent="0.2">
      <c r="F521" s="86"/>
    </row>
    <row r="522" spans="6:6" x14ac:dyDescent="0.2">
      <c r="F522" s="86"/>
    </row>
    <row r="523" spans="6:6" x14ac:dyDescent="0.2">
      <c r="F523" s="86"/>
    </row>
    <row r="524" spans="6:6" x14ac:dyDescent="0.2">
      <c r="F524" s="86"/>
    </row>
    <row r="525" spans="6:6" x14ac:dyDescent="0.2">
      <c r="F525" s="86"/>
    </row>
    <row r="526" spans="6:6" x14ac:dyDescent="0.2">
      <c r="F526" s="86"/>
    </row>
    <row r="527" spans="6:6" x14ac:dyDescent="0.2">
      <c r="F527" s="86"/>
    </row>
    <row r="528" spans="6:6" x14ac:dyDescent="0.2">
      <c r="F528" s="86"/>
    </row>
    <row r="529" spans="6:6" x14ac:dyDescent="0.2">
      <c r="F529" s="86"/>
    </row>
    <row r="530" spans="6:6" x14ac:dyDescent="0.2">
      <c r="F530" s="86"/>
    </row>
    <row r="531" spans="6:6" x14ac:dyDescent="0.2">
      <c r="F531" s="86"/>
    </row>
    <row r="532" spans="6:6" x14ac:dyDescent="0.2">
      <c r="F532" s="86"/>
    </row>
    <row r="533" spans="6:6" x14ac:dyDescent="0.2">
      <c r="F533" s="86"/>
    </row>
    <row r="534" spans="6:6" x14ac:dyDescent="0.2">
      <c r="F534" s="86"/>
    </row>
    <row r="535" spans="6:6" x14ac:dyDescent="0.2">
      <c r="F535" s="86"/>
    </row>
    <row r="536" spans="6:6" x14ac:dyDescent="0.2">
      <c r="F536" s="86"/>
    </row>
    <row r="537" spans="6:6" x14ac:dyDescent="0.2">
      <c r="F537" s="86"/>
    </row>
    <row r="538" spans="6:6" x14ac:dyDescent="0.2">
      <c r="F538" s="86"/>
    </row>
    <row r="539" spans="6:6" x14ac:dyDescent="0.2">
      <c r="F539" s="86"/>
    </row>
    <row r="540" spans="6:6" x14ac:dyDescent="0.2">
      <c r="F540" s="86"/>
    </row>
    <row r="541" spans="6:6" x14ac:dyDescent="0.2">
      <c r="F541" s="86"/>
    </row>
    <row r="542" spans="6:6" x14ac:dyDescent="0.2">
      <c r="F542" s="86"/>
    </row>
    <row r="543" spans="6:6" x14ac:dyDescent="0.2">
      <c r="F543" s="86"/>
    </row>
    <row r="544" spans="6:6" x14ac:dyDescent="0.2">
      <c r="F544" s="86"/>
    </row>
    <row r="545" spans="6:6" x14ac:dyDescent="0.2">
      <c r="F545" s="86"/>
    </row>
    <row r="546" spans="6:6" x14ac:dyDescent="0.2">
      <c r="F546" s="86"/>
    </row>
    <row r="547" spans="6:6" x14ac:dyDescent="0.2">
      <c r="F547" s="86"/>
    </row>
    <row r="548" spans="6:6" x14ac:dyDescent="0.2">
      <c r="F548" s="86"/>
    </row>
    <row r="549" spans="6:6" x14ac:dyDescent="0.2">
      <c r="F549" s="86"/>
    </row>
    <row r="550" spans="6:6" x14ac:dyDescent="0.2">
      <c r="F550" s="86"/>
    </row>
    <row r="551" spans="6:6" x14ac:dyDescent="0.2">
      <c r="F551" s="86"/>
    </row>
    <row r="552" spans="6:6" x14ac:dyDescent="0.2">
      <c r="F552" s="86"/>
    </row>
    <row r="553" spans="6:6" x14ac:dyDescent="0.2">
      <c r="F553" s="86"/>
    </row>
    <row r="554" spans="6:6" x14ac:dyDescent="0.2">
      <c r="F554" s="86"/>
    </row>
    <row r="555" spans="6:6" x14ac:dyDescent="0.2">
      <c r="F555" s="86"/>
    </row>
    <row r="556" spans="6:6" x14ac:dyDescent="0.2">
      <c r="F556" s="86"/>
    </row>
    <row r="557" spans="6:6" x14ac:dyDescent="0.2">
      <c r="F557" s="86"/>
    </row>
    <row r="558" spans="6:6" x14ac:dyDescent="0.2">
      <c r="F558" s="86"/>
    </row>
    <row r="559" spans="6:6" x14ac:dyDescent="0.2">
      <c r="F559" s="86"/>
    </row>
    <row r="560" spans="6:6" x14ac:dyDescent="0.2">
      <c r="F560" s="86"/>
    </row>
    <row r="561" spans="6:6" x14ac:dyDescent="0.2">
      <c r="F561" s="86"/>
    </row>
    <row r="562" spans="6:6" x14ac:dyDescent="0.2">
      <c r="F562" s="86"/>
    </row>
    <row r="563" spans="6:6" x14ac:dyDescent="0.2">
      <c r="F563" s="86"/>
    </row>
    <row r="564" spans="6:6" x14ac:dyDescent="0.2">
      <c r="F564" s="86"/>
    </row>
    <row r="565" spans="6:6" x14ac:dyDescent="0.2">
      <c r="F565" s="86"/>
    </row>
    <row r="566" spans="6:6" x14ac:dyDescent="0.2">
      <c r="F566" s="86"/>
    </row>
    <row r="567" spans="6:6" x14ac:dyDescent="0.2">
      <c r="F567" s="86"/>
    </row>
    <row r="568" spans="6:6" x14ac:dyDescent="0.2">
      <c r="F568" s="86"/>
    </row>
    <row r="569" spans="6:6" x14ac:dyDescent="0.2">
      <c r="F569" s="86"/>
    </row>
    <row r="570" spans="6:6" x14ac:dyDescent="0.2">
      <c r="F570" s="86"/>
    </row>
    <row r="571" spans="6:6" x14ac:dyDescent="0.2">
      <c r="F571" s="86"/>
    </row>
    <row r="572" spans="6:6" x14ac:dyDescent="0.2">
      <c r="F572" s="86"/>
    </row>
    <row r="573" spans="6:6" x14ac:dyDescent="0.2">
      <c r="F573" s="86"/>
    </row>
    <row r="574" spans="6:6" x14ac:dyDescent="0.2">
      <c r="F574" s="86"/>
    </row>
    <row r="575" spans="6:6" x14ac:dyDescent="0.2">
      <c r="F575" s="86"/>
    </row>
    <row r="576" spans="6:6" x14ac:dyDescent="0.2">
      <c r="F576" s="86"/>
    </row>
    <row r="577" spans="6:6" x14ac:dyDescent="0.2">
      <c r="F577" s="86"/>
    </row>
    <row r="578" spans="6:6" x14ac:dyDescent="0.2">
      <c r="F578" s="86"/>
    </row>
    <row r="579" spans="6:6" x14ac:dyDescent="0.2">
      <c r="F579" s="86"/>
    </row>
    <row r="580" spans="6:6" x14ac:dyDescent="0.2">
      <c r="F580" s="86"/>
    </row>
    <row r="581" spans="6:6" x14ac:dyDescent="0.2">
      <c r="F581" s="86"/>
    </row>
    <row r="582" spans="6:6" x14ac:dyDescent="0.2">
      <c r="F582" s="86"/>
    </row>
    <row r="583" spans="6:6" x14ac:dyDescent="0.2">
      <c r="F583" s="86"/>
    </row>
    <row r="584" spans="6:6" x14ac:dyDescent="0.2">
      <c r="F584" s="86"/>
    </row>
    <row r="585" spans="6:6" x14ac:dyDescent="0.2">
      <c r="F585" s="86"/>
    </row>
    <row r="586" spans="6:6" x14ac:dyDescent="0.2">
      <c r="F586" s="86"/>
    </row>
    <row r="587" spans="6:6" x14ac:dyDescent="0.2">
      <c r="F587" s="86"/>
    </row>
    <row r="588" spans="6:6" x14ac:dyDescent="0.2">
      <c r="F588" s="86"/>
    </row>
    <row r="589" spans="6:6" x14ac:dyDescent="0.2">
      <c r="F589" s="86"/>
    </row>
    <row r="590" spans="6:6" x14ac:dyDescent="0.2">
      <c r="F590" s="86"/>
    </row>
    <row r="591" spans="6:6" x14ac:dyDescent="0.2">
      <c r="F591" s="86"/>
    </row>
    <row r="592" spans="6:6" x14ac:dyDescent="0.2">
      <c r="F592" s="86"/>
    </row>
    <row r="593" spans="6:6" x14ac:dyDescent="0.2">
      <c r="F593" s="86"/>
    </row>
    <row r="594" spans="6:6" x14ac:dyDescent="0.2">
      <c r="F594" s="86"/>
    </row>
    <row r="595" spans="6:6" x14ac:dyDescent="0.2">
      <c r="F595" s="86"/>
    </row>
    <row r="596" spans="6:6" x14ac:dyDescent="0.2">
      <c r="F596" s="86"/>
    </row>
    <row r="597" spans="6:6" x14ac:dyDescent="0.2">
      <c r="F597" s="86"/>
    </row>
    <row r="598" spans="6:6" x14ac:dyDescent="0.2">
      <c r="F598" s="86"/>
    </row>
    <row r="599" spans="6:6" x14ac:dyDescent="0.2">
      <c r="F599" s="86"/>
    </row>
    <row r="600" spans="6:6" x14ac:dyDescent="0.2">
      <c r="F600" s="86"/>
    </row>
    <row r="601" spans="6:6" x14ac:dyDescent="0.2">
      <c r="F601" s="86"/>
    </row>
    <row r="602" spans="6:6" x14ac:dyDescent="0.2">
      <c r="F602" s="86"/>
    </row>
    <row r="603" spans="6:6" x14ac:dyDescent="0.2">
      <c r="F603" s="86"/>
    </row>
    <row r="604" spans="6:6" x14ac:dyDescent="0.2">
      <c r="F604" s="86"/>
    </row>
    <row r="605" spans="6:6" x14ac:dyDescent="0.2">
      <c r="F605" s="86"/>
    </row>
    <row r="606" spans="6:6" x14ac:dyDescent="0.2">
      <c r="F606" s="86"/>
    </row>
    <row r="607" spans="6:6" x14ac:dyDescent="0.2">
      <c r="F607" s="86"/>
    </row>
    <row r="608" spans="6:6" x14ac:dyDescent="0.2">
      <c r="F608" s="86"/>
    </row>
    <row r="609" spans="6:6" x14ac:dyDescent="0.2">
      <c r="F609" s="86"/>
    </row>
    <row r="610" spans="6:6" x14ac:dyDescent="0.2">
      <c r="F610" s="86"/>
    </row>
    <row r="611" spans="6:6" x14ac:dyDescent="0.2">
      <c r="F611" s="86"/>
    </row>
    <row r="612" spans="6:6" x14ac:dyDescent="0.2">
      <c r="F612" s="86"/>
    </row>
    <row r="613" spans="6:6" x14ac:dyDescent="0.2">
      <c r="F613" s="86"/>
    </row>
    <row r="614" spans="6:6" x14ac:dyDescent="0.2">
      <c r="F614" s="86"/>
    </row>
    <row r="615" spans="6:6" x14ac:dyDescent="0.2">
      <c r="F615" s="86"/>
    </row>
    <row r="616" spans="6:6" x14ac:dyDescent="0.2">
      <c r="F616" s="86"/>
    </row>
    <row r="617" spans="6:6" x14ac:dyDescent="0.2">
      <c r="F617" s="86"/>
    </row>
    <row r="618" spans="6:6" x14ac:dyDescent="0.2">
      <c r="F618" s="86"/>
    </row>
    <row r="619" spans="6:6" x14ac:dyDescent="0.2">
      <c r="F619" s="86"/>
    </row>
    <row r="620" spans="6:6" x14ac:dyDescent="0.2">
      <c r="F620" s="86"/>
    </row>
    <row r="621" spans="6:6" x14ac:dyDescent="0.2">
      <c r="F621" s="86"/>
    </row>
    <row r="622" spans="6:6" x14ac:dyDescent="0.2">
      <c r="F622" s="86"/>
    </row>
    <row r="623" spans="6:6" x14ac:dyDescent="0.2">
      <c r="F623" s="86"/>
    </row>
    <row r="624" spans="6:6" x14ac:dyDescent="0.2">
      <c r="F624" s="86"/>
    </row>
    <row r="625" spans="6:6" x14ac:dyDescent="0.2">
      <c r="F625" s="86"/>
    </row>
    <row r="626" spans="6:6" x14ac:dyDescent="0.2">
      <c r="F626" s="86"/>
    </row>
    <row r="627" spans="6:6" x14ac:dyDescent="0.2">
      <c r="F627" s="86"/>
    </row>
    <row r="628" spans="6:6" x14ac:dyDescent="0.2">
      <c r="F628" s="86"/>
    </row>
    <row r="629" spans="6:6" x14ac:dyDescent="0.2">
      <c r="F629" s="86"/>
    </row>
    <row r="630" spans="6:6" x14ac:dyDescent="0.2">
      <c r="F630" s="86"/>
    </row>
    <row r="631" spans="6:6" x14ac:dyDescent="0.2">
      <c r="F631" s="86"/>
    </row>
    <row r="632" spans="6:6" x14ac:dyDescent="0.2">
      <c r="F632" s="86"/>
    </row>
    <row r="633" spans="6:6" x14ac:dyDescent="0.2">
      <c r="F633" s="86"/>
    </row>
    <row r="634" spans="6:6" x14ac:dyDescent="0.2">
      <c r="F634" s="86"/>
    </row>
    <row r="635" spans="6:6" x14ac:dyDescent="0.2">
      <c r="F635" s="86"/>
    </row>
    <row r="636" spans="6:6" x14ac:dyDescent="0.2">
      <c r="F636" s="86"/>
    </row>
    <row r="637" spans="6:6" x14ac:dyDescent="0.2">
      <c r="F637" s="86"/>
    </row>
    <row r="638" spans="6:6" x14ac:dyDescent="0.2">
      <c r="F638" s="86"/>
    </row>
    <row r="639" spans="6:6" x14ac:dyDescent="0.2">
      <c r="F639" s="86"/>
    </row>
    <row r="640" spans="6:6" x14ac:dyDescent="0.2">
      <c r="F640" s="86"/>
    </row>
    <row r="641" spans="6:6" x14ac:dyDescent="0.2">
      <c r="F641" s="86"/>
    </row>
    <row r="642" spans="6:6" x14ac:dyDescent="0.2">
      <c r="F642" s="86"/>
    </row>
    <row r="643" spans="6:6" x14ac:dyDescent="0.2">
      <c r="F643" s="86"/>
    </row>
    <row r="644" spans="6:6" x14ac:dyDescent="0.2">
      <c r="F644" s="86"/>
    </row>
    <row r="645" spans="6:6" x14ac:dyDescent="0.2">
      <c r="F645" s="86"/>
    </row>
    <row r="646" spans="6:6" x14ac:dyDescent="0.2">
      <c r="F646" s="86"/>
    </row>
    <row r="647" spans="6:6" x14ac:dyDescent="0.2">
      <c r="F647" s="86"/>
    </row>
    <row r="648" spans="6:6" x14ac:dyDescent="0.2">
      <c r="F648" s="86"/>
    </row>
    <row r="649" spans="6:6" x14ac:dyDescent="0.2">
      <c r="F649" s="86"/>
    </row>
    <row r="650" spans="6:6" x14ac:dyDescent="0.2">
      <c r="F650" s="86"/>
    </row>
    <row r="651" spans="6:6" x14ac:dyDescent="0.2">
      <c r="F651" s="86"/>
    </row>
    <row r="652" spans="6:6" x14ac:dyDescent="0.2">
      <c r="F652" s="86"/>
    </row>
    <row r="653" spans="6:6" x14ac:dyDescent="0.2">
      <c r="F653" s="86"/>
    </row>
    <row r="654" spans="6:6" x14ac:dyDescent="0.2">
      <c r="F654" s="86"/>
    </row>
    <row r="655" spans="6:6" x14ac:dyDescent="0.2">
      <c r="F655" s="86"/>
    </row>
    <row r="656" spans="6:6" x14ac:dyDescent="0.2">
      <c r="F656" s="86"/>
    </row>
    <row r="657" spans="6:6" x14ac:dyDescent="0.2">
      <c r="F657" s="86"/>
    </row>
    <row r="658" spans="6:6" x14ac:dyDescent="0.2">
      <c r="F658" s="86"/>
    </row>
    <row r="659" spans="6:6" x14ac:dyDescent="0.2">
      <c r="F659" s="86"/>
    </row>
    <row r="660" spans="6:6" x14ac:dyDescent="0.2">
      <c r="F660" s="86"/>
    </row>
    <row r="661" spans="6:6" x14ac:dyDescent="0.2">
      <c r="F661" s="86"/>
    </row>
    <row r="662" spans="6:6" x14ac:dyDescent="0.2">
      <c r="F662" s="86"/>
    </row>
    <row r="663" spans="6:6" x14ac:dyDescent="0.2">
      <c r="F663" s="86"/>
    </row>
    <row r="664" spans="6:6" x14ac:dyDescent="0.2">
      <c r="F664" s="86"/>
    </row>
    <row r="665" spans="6:6" x14ac:dyDescent="0.2">
      <c r="F665" s="86"/>
    </row>
    <row r="666" spans="6:6" x14ac:dyDescent="0.2">
      <c r="F666" s="86"/>
    </row>
    <row r="667" spans="6:6" x14ac:dyDescent="0.2">
      <c r="F667" s="86"/>
    </row>
    <row r="668" spans="6:6" x14ac:dyDescent="0.2">
      <c r="F668" s="86"/>
    </row>
    <row r="669" spans="6:6" x14ac:dyDescent="0.2">
      <c r="F669" s="86"/>
    </row>
    <row r="670" spans="6:6" x14ac:dyDescent="0.2">
      <c r="F670" s="86"/>
    </row>
    <row r="671" spans="6:6" x14ac:dyDescent="0.2">
      <c r="F671" s="86"/>
    </row>
    <row r="672" spans="6:6" x14ac:dyDescent="0.2">
      <c r="F672" s="86"/>
    </row>
    <row r="673" spans="6:6" x14ac:dyDescent="0.2">
      <c r="F673" s="86"/>
    </row>
    <row r="674" spans="6:6" x14ac:dyDescent="0.2">
      <c r="F674" s="86"/>
    </row>
    <row r="675" spans="6:6" x14ac:dyDescent="0.2">
      <c r="F675" s="86"/>
    </row>
    <row r="676" spans="6:6" x14ac:dyDescent="0.2">
      <c r="F676" s="86"/>
    </row>
    <row r="677" spans="6:6" x14ac:dyDescent="0.2">
      <c r="F677" s="86"/>
    </row>
    <row r="678" spans="6:6" x14ac:dyDescent="0.2">
      <c r="F678" s="86"/>
    </row>
    <row r="679" spans="6:6" x14ac:dyDescent="0.2">
      <c r="F679" s="86"/>
    </row>
    <row r="680" spans="6:6" x14ac:dyDescent="0.2">
      <c r="F680" s="86"/>
    </row>
    <row r="681" spans="6:6" x14ac:dyDescent="0.2">
      <c r="F681" s="86"/>
    </row>
    <row r="682" spans="6:6" x14ac:dyDescent="0.2">
      <c r="F682" s="86"/>
    </row>
    <row r="683" spans="6:6" x14ac:dyDescent="0.2">
      <c r="F683" s="86"/>
    </row>
    <row r="684" spans="6:6" x14ac:dyDescent="0.2">
      <c r="F684" s="86"/>
    </row>
    <row r="685" spans="6:6" x14ac:dyDescent="0.2">
      <c r="F685" s="86"/>
    </row>
    <row r="686" spans="6:6" x14ac:dyDescent="0.2">
      <c r="F686" s="86"/>
    </row>
    <row r="687" spans="6:6" x14ac:dyDescent="0.2">
      <c r="F687" s="86"/>
    </row>
    <row r="688" spans="6:6" x14ac:dyDescent="0.2">
      <c r="F688" s="86"/>
    </row>
    <row r="689" spans="6:6" x14ac:dyDescent="0.2">
      <c r="F689" s="86"/>
    </row>
    <row r="690" spans="6:6" x14ac:dyDescent="0.2">
      <c r="F690" s="86"/>
    </row>
    <row r="691" spans="6:6" x14ac:dyDescent="0.2">
      <c r="F691" s="86"/>
    </row>
    <row r="692" spans="6:6" x14ac:dyDescent="0.2">
      <c r="F692" s="86"/>
    </row>
    <row r="693" spans="6:6" x14ac:dyDescent="0.2">
      <c r="F693" s="86"/>
    </row>
    <row r="694" spans="6:6" x14ac:dyDescent="0.2">
      <c r="F694" s="86"/>
    </row>
    <row r="695" spans="6:6" x14ac:dyDescent="0.2">
      <c r="F695" s="86"/>
    </row>
    <row r="696" spans="6:6" x14ac:dyDescent="0.2">
      <c r="F696" s="86"/>
    </row>
    <row r="697" spans="6:6" x14ac:dyDescent="0.2">
      <c r="F697" s="86"/>
    </row>
    <row r="698" spans="6:6" x14ac:dyDescent="0.2">
      <c r="F698" s="86"/>
    </row>
    <row r="699" spans="6:6" x14ac:dyDescent="0.2">
      <c r="F699" s="86"/>
    </row>
    <row r="700" spans="6:6" x14ac:dyDescent="0.2">
      <c r="F700" s="86"/>
    </row>
    <row r="701" spans="6:6" x14ac:dyDescent="0.2">
      <c r="F701" s="86"/>
    </row>
    <row r="702" spans="6:6" x14ac:dyDescent="0.2">
      <c r="F702" s="86"/>
    </row>
    <row r="703" spans="6:6" x14ac:dyDescent="0.2">
      <c r="F703" s="86"/>
    </row>
    <row r="704" spans="6:6" x14ac:dyDescent="0.2">
      <c r="F704" s="86"/>
    </row>
    <row r="705" spans="6:6" x14ac:dyDescent="0.2">
      <c r="F705" s="86"/>
    </row>
    <row r="706" spans="6:6" x14ac:dyDescent="0.2">
      <c r="F706" s="86"/>
    </row>
    <row r="707" spans="6:6" x14ac:dyDescent="0.2">
      <c r="F707" s="86"/>
    </row>
    <row r="708" spans="6:6" x14ac:dyDescent="0.2">
      <c r="F708" s="86"/>
    </row>
    <row r="709" spans="6:6" x14ac:dyDescent="0.2">
      <c r="F709" s="86"/>
    </row>
    <row r="710" spans="6:6" x14ac:dyDescent="0.2">
      <c r="F710" s="86"/>
    </row>
    <row r="711" spans="6:6" x14ac:dyDescent="0.2">
      <c r="F711" s="86"/>
    </row>
    <row r="712" spans="6:6" x14ac:dyDescent="0.2">
      <c r="F712" s="86"/>
    </row>
    <row r="713" spans="6:6" x14ac:dyDescent="0.2">
      <c r="F713" s="86"/>
    </row>
    <row r="714" spans="6:6" x14ac:dyDescent="0.2">
      <c r="F714" s="86"/>
    </row>
    <row r="715" spans="6:6" x14ac:dyDescent="0.2">
      <c r="F715" s="86"/>
    </row>
    <row r="716" spans="6:6" x14ac:dyDescent="0.2">
      <c r="F716" s="86"/>
    </row>
    <row r="717" spans="6:6" x14ac:dyDescent="0.2">
      <c r="F717" s="86"/>
    </row>
    <row r="718" spans="6:6" x14ac:dyDescent="0.2">
      <c r="F718" s="86"/>
    </row>
    <row r="719" spans="6:6" x14ac:dyDescent="0.2">
      <c r="F719" s="86"/>
    </row>
    <row r="720" spans="6:6" x14ac:dyDescent="0.2">
      <c r="F720" s="86"/>
    </row>
    <row r="721" spans="6:6" x14ac:dyDescent="0.2">
      <c r="F721" s="86"/>
    </row>
    <row r="722" spans="6:6" x14ac:dyDescent="0.2">
      <c r="F722" s="86"/>
    </row>
    <row r="723" spans="6:6" x14ac:dyDescent="0.2">
      <c r="F723" s="86"/>
    </row>
    <row r="724" spans="6:6" x14ac:dyDescent="0.2">
      <c r="F724" s="86"/>
    </row>
    <row r="725" spans="6:6" x14ac:dyDescent="0.2">
      <c r="F725" s="86"/>
    </row>
    <row r="726" spans="6:6" x14ac:dyDescent="0.2">
      <c r="F726" s="86"/>
    </row>
    <row r="727" spans="6:6" x14ac:dyDescent="0.2">
      <c r="F727" s="86"/>
    </row>
    <row r="728" spans="6:6" x14ac:dyDescent="0.2">
      <c r="F728" s="86"/>
    </row>
    <row r="729" spans="6:6" x14ac:dyDescent="0.2">
      <c r="F729" s="86"/>
    </row>
    <row r="730" spans="6:6" x14ac:dyDescent="0.2">
      <c r="F730" s="86"/>
    </row>
    <row r="731" spans="6:6" x14ac:dyDescent="0.2">
      <c r="F731" s="86"/>
    </row>
    <row r="732" spans="6:6" x14ac:dyDescent="0.2">
      <c r="F732" s="86"/>
    </row>
    <row r="733" spans="6:6" x14ac:dyDescent="0.2">
      <c r="F733" s="86"/>
    </row>
    <row r="734" spans="6:6" x14ac:dyDescent="0.2">
      <c r="F734" s="86"/>
    </row>
    <row r="735" spans="6:6" x14ac:dyDescent="0.2">
      <c r="F735" s="86"/>
    </row>
    <row r="736" spans="6:6" x14ac:dyDescent="0.2">
      <c r="F736" s="86"/>
    </row>
    <row r="737" spans="6:6" x14ac:dyDescent="0.2">
      <c r="F737" s="86"/>
    </row>
    <row r="738" spans="6:6" x14ac:dyDescent="0.2">
      <c r="F738" s="86"/>
    </row>
    <row r="739" spans="6:6" x14ac:dyDescent="0.2">
      <c r="F739" s="86"/>
    </row>
    <row r="740" spans="6:6" x14ac:dyDescent="0.2">
      <c r="F740" s="86"/>
    </row>
    <row r="741" spans="6:6" x14ac:dyDescent="0.2">
      <c r="F741" s="86"/>
    </row>
    <row r="742" spans="6:6" x14ac:dyDescent="0.2">
      <c r="F742" s="86"/>
    </row>
    <row r="743" spans="6:6" x14ac:dyDescent="0.2">
      <c r="F743" s="86"/>
    </row>
    <row r="744" spans="6:6" x14ac:dyDescent="0.2">
      <c r="F744" s="86"/>
    </row>
    <row r="745" spans="6:6" x14ac:dyDescent="0.2">
      <c r="F745" s="86"/>
    </row>
    <row r="746" spans="6:6" x14ac:dyDescent="0.2">
      <c r="F746" s="86"/>
    </row>
    <row r="747" spans="6:6" x14ac:dyDescent="0.2">
      <c r="F747" s="86"/>
    </row>
    <row r="748" spans="6:6" x14ac:dyDescent="0.2">
      <c r="F748" s="86"/>
    </row>
    <row r="749" spans="6:6" x14ac:dyDescent="0.2">
      <c r="F749" s="86"/>
    </row>
    <row r="750" spans="6:6" x14ac:dyDescent="0.2">
      <c r="F750" s="86"/>
    </row>
    <row r="751" spans="6:6" x14ac:dyDescent="0.2">
      <c r="F751" s="86"/>
    </row>
    <row r="752" spans="6:6" x14ac:dyDescent="0.2">
      <c r="F752" s="86"/>
    </row>
    <row r="753" spans="6:6" x14ac:dyDescent="0.2">
      <c r="F753" s="86"/>
    </row>
    <row r="754" spans="6:6" x14ac:dyDescent="0.2">
      <c r="F754" s="86"/>
    </row>
    <row r="755" spans="6:6" x14ac:dyDescent="0.2">
      <c r="F755" s="86"/>
    </row>
    <row r="756" spans="6:6" x14ac:dyDescent="0.2">
      <c r="F756" s="86"/>
    </row>
    <row r="757" spans="6:6" x14ac:dyDescent="0.2">
      <c r="F757" s="86"/>
    </row>
    <row r="758" spans="6:6" x14ac:dyDescent="0.2">
      <c r="F758" s="86"/>
    </row>
    <row r="759" spans="6:6" x14ac:dyDescent="0.2">
      <c r="F759" s="86"/>
    </row>
    <row r="760" spans="6:6" x14ac:dyDescent="0.2">
      <c r="F760" s="86"/>
    </row>
    <row r="761" spans="6:6" x14ac:dyDescent="0.2">
      <c r="F761" s="86"/>
    </row>
    <row r="762" spans="6:6" x14ac:dyDescent="0.2">
      <c r="F762" s="86"/>
    </row>
    <row r="763" spans="6:6" x14ac:dyDescent="0.2">
      <c r="F763" s="86"/>
    </row>
    <row r="764" spans="6:6" x14ac:dyDescent="0.2">
      <c r="F764" s="86"/>
    </row>
    <row r="765" spans="6:6" x14ac:dyDescent="0.2">
      <c r="F765" s="86"/>
    </row>
    <row r="766" spans="6:6" x14ac:dyDescent="0.2">
      <c r="F766" s="86"/>
    </row>
    <row r="767" spans="6:6" x14ac:dyDescent="0.2">
      <c r="F767" s="86"/>
    </row>
    <row r="768" spans="6:6" x14ac:dyDescent="0.2">
      <c r="F768" s="86"/>
    </row>
    <row r="769" spans="6:6" x14ac:dyDescent="0.2">
      <c r="F769" s="86"/>
    </row>
    <row r="770" spans="6:6" x14ac:dyDescent="0.2">
      <c r="F770" s="86"/>
    </row>
    <row r="771" spans="6:6" x14ac:dyDescent="0.2">
      <c r="F771" s="86"/>
    </row>
    <row r="772" spans="6:6" x14ac:dyDescent="0.2">
      <c r="F772" s="86"/>
    </row>
    <row r="773" spans="6:6" x14ac:dyDescent="0.2">
      <c r="F773" s="86"/>
    </row>
    <row r="774" spans="6:6" x14ac:dyDescent="0.2">
      <c r="F774" s="86"/>
    </row>
    <row r="775" spans="6:6" x14ac:dyDescent="0.2">
      <c r="F775" s="86"/>
    </row>
    <row r="776" spans="6:6" x14ac:dyDescent="0.2">
      <c r="F776" s="86"/>
    </row>
    <row r="777" spans="6:6" x14ac:dyDescent="0.2">
      <c r="F777" s="86"/>
    </row>
    <row r="778" spans="6:6" x14ac:dyDescent="0.2">
      <c r="F778" s="86"/>
    </row>
    <row r="779" spans="6:6" x14ac:dyDescent="0.2">
      <c r="F779" s="86"/>
    </row>
    <row r="780" spans="6:6" x14ac:dyDescent="0.2">
      <c r="F780" s="86"/>
    </row>
    <row r="781" spans="6:6" x14ac:dyDescent="0.2">
      <c r="F781" s="86"/>
    </row>
    <row r="782" spans="6:6" x14ac:dyDescent="0.2">
      <c r="F782" s="86"/>
    </row>
    <row r="783" spans="6:6" x14ac:dyDescent="0.2">
      <c r="F783" s="86"/>
    </row>
    <row r="784" spans="6:6" x14ac:dyDescent="0.2">
      <c r="F784" s="86"/>
    </row>
    <row r="785" spans="6:6" x14ac:dyDescent="0.2">
      <c r="F785" s="86"/>
    </row>
    <row r="786" spans="6:6" x14ac:dyDescent="0.2">
      <c r="F786" s="86"/>
    </row>
    <row r="787" spans="6:6" x14ac:dyDescent="0.2">
      <c r="F787" s="86"/>
    </row>
    <row r="788" spans="6:6" x14ac:dyDescent="0.2">
      <c r="F788" s="86"/>
    </row>
    <row r="789" spans="6:6" x14ac:dyDescent="0.2">
      <c r="F789" s="86"/>
    </row>
    <row r="790" spans="6:6" x14ac:dyDescent="0.2">
      <c r="F790" s="86"/>
    </row>
    <row r="791" spans="6:6" x14ac:dyDescent="0.2">
      <c r="F791" s="86"/>
    </row>
    <row r="792" spans="6:6" x14ac:dyDescent="0.2">
      <c r="F792" s="86"/>
    </row>
    <row r="793" spans="6:6" x14ac:dyDescent="0.2">
      <c r="F793" s="86"/>
    </row>
    <row r="794" spans="6:6" x14ac:dyDescent="0.2">
      <c r="F794" s="86"/>
    </row>
    <row r="795" spans="6:6" x14ac:dyDescent="0.2">
      <c r="F795" s="86"/>
    </row>
    <row r="796" spans="6:6" x14ac:dyDescent="0.2">
      <c r="F796" s="86"/>
    </row>
    <row r="797" spans="6:6" x14ac:dyDescent="0.2">
      <c r="F797" s="86"/>
    </row>
    <row r="798" spans="6:6" x14ac:dyDescent="0.2">
      <c r="F798" s="86"/>
    </row>
    <row r="799" spans="6:6" x14ac:dyDescent="0.2">
      <c r="F799" s="86"/>
    </row>
    <row r="800" spans="6:6" x14ac:dyDescent="0.2">
      <c r="F800" s="86"/>
    </row>
    <row r="801" spans="6:6" x14ac:dyDescent="0.2">
      <c r="F801" s="86"/>
    </row>
    <row r="802" spans="6:6" x14ac:dyDescent="0.2">
      <c r="F802" s="86"/>
    </row>
    <row r="803" spans="6:6" x14ac:dyDescent="0.2">
      <c r="F803" s="86"/>
    </row>
    <row r="804" spans="6:6" x14ac:dyDescent="0.2">
      <c r="F804" s="86"/>
    </row>
    <row r="805" spans="6:6" x14ac:dyDescent="0.2">
      <c r="F805" s="86"/>
    </row>
    <row r="806" spans="6:6" x14ac:dyDescent="0.2">
      <c r="F806" s="86"/>
    </row>
    <row r="807" spans="6:6" x14ac:dyDescent="0.2">
      <c r="F807" s="86"/>
    </row>
    <row r="808" spans="6:6" x14ac:dyDescent="0.2">
      <c r="F808" s="86"/>
    </row>
    <row r="809" spans="6:6" x14ac:dyDescent="0.2">
      <c r="F809" s="86"/>
    </row>
    <row r="810" spans="6:6" x14ac:dyDescent="0.2">
      <c r="F810" s="86"/>
    </row>
    <row r="811" spans="6:6" x14ac:dyDescent="0.2">
      <c r="F811" s="86"/>
    </row>
    <row r="812" spans="6:6" x14ac:dyDescent="0.2">
      <c r="F812" s="86"/>
    </row>
    <row r="813" spans="6:6" x14ac:dyDescent="0.2">
      <c r="F813" s="86"/>
    </row>
    <row r="814" spans="6:6" x14ac:dyDescent="0.2">
      <c r="F814" s="86"/>
    </row>
    <row r="815" spans="6:6" x14ac:dyDescent="0.2">
      <c r="F815" s="86"/>
    </row>
    <row r="816" spans="6:6" x14ac:dyDescent="0.2">
      <c r="F816" s="86"/>
    </row>
    <row r="817" spans="6:6" x14ac:dyDescent="0.2">
      <c r="F817" s="86"/>
    </row>
    <row r="818" spans="6:6" x14ac:dyDescent="0.2">
      <c r="F818" s="86"/>
    </row>
    <row r="819" spans="6:6" x14ac:dyDescent="0.2">
      <c r="F819" s="86"/>
    </row>
    <row r="820" spans="6:6" x14ac:dyDescent="0.2">
      <c r="F820" s="86"/>
    </row>
    <row r="821" spans="6:6" x14ac:dyDescent="0.2">
      <c r="F821" s="86"/>
    </row>
    <row r="822" spans="6:6" x14ac:dyDescent="0.2">
      <c r="F822" s="86"/>
    </row>
    <row r="823" spans="6:6" x14ac:dyDescent="0.2">
      <c r="F823" s="86"/>
    </row>
    <row r="824" spans="6:6" x14ac:dyDescent="0.2">
      <c r="F824" s="86"/>
    </row>
    <row r="825" spans="6:6" x14ac:dyDescent="0.2">
      <c r="F825" s="86"/>
    </row>
    <row r="826" spans="6:6" x14ac:dyDescent="0.2">
      <c r="F826" s="86"/>
    </row>
    <row r="827" spans="6:6" x14ac:dyDescent="0.2">
      <c r="F827" s="86"/>
    </row>
    <row r="828" spans="6:6" x14ac:dyDescent="0.2">
      <c r="F828" s="86"/>
    </row>
    <row r="829" spans="6:6" x14ac:dyDescent="0.2">
      <c r="F829" s="86"/>
    </row>
    <row r="830" spans="6:6" x14ac:dyDescent="0.2">
      <c r="F830" s="86"/>
    </row>
    <row r="831" spans="6:6" x14ac:dyDescent="0.2">
      <c r="F831" s="86"/>
    </row>
    <row r="832" spans="6:6" x14ac:dyDescent="0.2">
      <c r="F832" s="86"/>
    </row>
    <row r="833" spans="6:6" x14ac:dyDescent="0.2">
      <c r="F833" s="86"/>
    </row>
    <row r="834" spans="6:6" x14ac:dyDescent="0.2">
      <c r="F834" s="86"/>
    </row>
    <row r="835" spans="6:6" x14ac:dyDescent="0.2">
      <c r="F835" s="86"/>
    </row>
    <row r="836" spans="6:6" x14ac:dyDescent="0.2">
      <c r="F836" s="86"/>
    </row>
    <row r="837" spans="6:6" x14ac:dyDescent="0.2">
      <c r="F837" s="86"/>
    </row>
    <row r="838" spans="6:6" x14ac:dyDescent="0.2">
      <c r="F838" s="86"/>
    </row>
    <row r="839" spans="6:6" x14ac:dyDescent="0.2">
      <c r="F839" s="86"/>
    </row>
    <row r="840" spans="6:6" x14ac:dyDescent="0.2">
      <c r="F840" s="86"/>
    </row>
    <row r="841" spans="6:6" x14ac:dyDescent="0.2">
      <c r="F841" s="86"/>
    </row>
    <row r="842" spans="6:6" x14ac:dyDescent="0.2">
      <c r="F842" s="86"/>
    </row>
    <row r="843" spans="6:6" x14ac:dyDescent="0.2">
      <c r="F843" s="86"/>
    </row>
    <row r="844" spans="6:6" x14ac:dyDescent="0.2">
      <c r="F844" s="86"/>
    </row>
    <row r="845" spans="6:6" x14ac:dyDescent="0.2">
      <c r="F845" s="86"/>
    </row>
    <row r="846" spans="6:6" x14ac:dyDescent="0.2">
      <c r="F846" s="86"/>
    </row>
    <row r="847" spans="6:6" x14ac:dyDescent="0.2">
      <c r="F847" s="86"/>
    </row>
    <row r="848" spans="6:6" x14ac:dyDescent="0.2">
      <c r="F848" s="86"/>
    </row>
    <row r="849" spans="6:6" x14ac:dyDescent="0.2">
      <c r="F849" s="86"/>
    </row>
    <row r="850" spans="6:6" x14ac:dyDescent="0.2">
      <c r="F850" s="86"/>
    </row>
    <row r="851" spans="6:6" x14ac:dyDescent="0.2">
      <c r="F851" s="86"/>
    </row>
    <row r="852" spans="6:6" x14ac:dyDescent="0.2">
      <c r="F852" s="86"/>
    </row>
    <row r="853" spans="6:6" x14ac:dyDescent="0.2">
      <c r="F853" s="86"/>
    </row>
    <row r="854" spans="6:6" x14ac:dyDescent="0.2">
      <c r="F854" s="86"/>
    </row>
    <row r="855" spans="6:6" x14ac:dyDescent="0.2">
      <c r="F855" s="86"/>
    </row>
    <row r="856" spans="6:6" x14ac:dyDescent="0.2">
      <c r="F856" s="86"/>
    </row>
    <row r="857" spans="6:6" x14ac:dyDescent="0.2">
      <c r="F857" s="86"/>
    </row>
    <row r="858" spans="6:6" x14ac:dyDescent="0.2">
      <c r="F858" s="86"/>
    </row>
    <row r="859" spans="6:6" x14ac:dyDescent="0.2">
      <c r="F859" s="86"/>
    </row>
    <row r="860" spans="6:6" x14ac:dyDescent="0.2">
      <c r="F860" s="86"/>
    </row>
    <row r="861" spans="6:6" x14ac:dyDescent="0.2">
      <c r="F861" s="86"/>
    </row>
    <row r="862" spans="6:6" x14ac:dyDescent="0.2">
      <c r="F862" s="86"/>
    </row>
    <row r="863" spans="6:6" x14ac:dyDescent="0.2">
      <c r="F863" s="86"/>
    </row>
    <row r="864" spans="6:6" x14ac:dyDescent="0.2">
      <c r="F864" s="86"/>
    </row>
    <row r="865" spans="6:6" x14ac:dyDescent="0.2">
      <c r="F865" s="86"/>
    </row>
    <row r="866" spans="6:6" x14ac:dyDescent="0.2">
      <c r="F866" s="86"/>
    </row>
    <row r="867" spans="6:6" x14ac:dyDescent="0.2">
      <c r="F867" s="86"/>
    </row>
    <row r="868" spans="6:6" x14ac:dyDescent="0.2">
      <c r="F868" s="86"/>
    </row>
    <row r="869" spans="6:6" x14ac:dyDescent="0.2">
      <c r="F869" s="86"/>
    </row>
    <row r="870" spans="6:6" x14ac:dyDescent="0.2">
      <c r="F870" s="86"/>
    </row>
    <row r="871" spans="6:6" x14ac:dyDescent="0.2">
      <c r="F871" s="86"/>
    </row>
    <row r="872" spans="6:6" x14ac:dyDescent="0.2">
      <c r="F872" s="86"/>
    </row>
    <row r="873" spans="6:6" x14ac:dyDescent="0.2">
      <c r="F873" s="86"/>
    </row>
    <row r="874" spans="6:6" x14ac:dyDescent="0.2">
      <c r="F874" s="86"/>
    </row>
    <row r="875" spans="6:6" x14ac:dyDescent="0.2">
      <c r="F875" s="86"/>
    </row>
    <row r="876" spans="6:6" x14ac:dyDescent="0.2">
      <c r="F876" s="86"/>
    </row>
    <row r="877" spans="6:6" x14ac:dyDescent="0.2">
      <c r="F877" s="86"/>
    </row>
    <row r="878" spans="6:6" x14ac:dyDescent="0.2">
      <c r="F878" s="86"/>
    </row>
    <row r="879" spans="6:6" x14ac:dyDescent="0.2">
      <c r="F879" s="86"/>
    </row>
    <row r="880" spans="6:6" x14ac:dyDescent="0.2">
      <c r="F880" s="86"/>
    </row>
    <row r="881" spans="6:6" x14ac:dyDescent="0.2">
      <c r="F881" s="86"/>
    </row>
    <row r="882" spans="6:6" x14ac:dyDescent="0.2">
      <c r="F882" s="86"/>
    </row>
    <row r="883" spans="6:6" x14ac:dyDescent="0.2">
      <c r="F883" s="86"/>
    </row>
    <row r="884" spans="6:6" x14ac:dyDescent="0.2">
      <c r="F884" s="86"/>
    </row>
    <row r="885" spans="6:6" x14ac:dyDescent="0.2">
      <c r="F885" s="86"/>
    </row>
    <row r="886" spans="6:6" x14ac:dyDescent="0.2">
      <c r="F886" s="86"/>
    </row>
    <row r="887" spans="6:6" x14ac:dyDescent="0.2">
      <c r="F887" s="86"/>
    </row>
    <row r="888" spans="6:6" x14ac:dyDescent="0.2">
      <c r="F888" s="86"/>
    </row>
    <row r="889" spans="6:6" x14ac:dyDescent="0.2">
      <c r="F889" s="86"/>
    </row>
    <row r="890" spans="6:6" x14ac:dyDescent="0.2">
      <c r="F890" s="86"/>
    </row>
    <row r="891" spans="6:6" x14ac:dyDescent="0.2">
      <c r="F891" s="86"/>
    </row>
    <row r="892" spans="6:6" x14ac:dyDescent="0.2">
      <c r="F892" s="86"/>
    </row>
    <row r="893" spans="6:6" x14ac:dyDescent="0.2">
      <c r="F893" s="86"/>
    </row>
    <row r="894" spans="6:6" x14ac:dyDescent="0.2">
      <c r="F894" s="86"/>
    </row>
    <row r="895" spans="6:6" x14ac:dyDescent="0.2">
      <c r="F895" s="86"/>
    </row>
    <row r="896" spans="6:6" x14ac:dyDescent="0.2">
      <c r="F896" s="86"/>
    </row>
    <row r="897" spans="6:7" x14ac:dyDescent="0.2">
      <c r="F897" s="86"/>
    </row>
    <row r="898" spans="6:7" x14ac:dyDescent="0.2">
      <c r="F898" s="86"/>
    </row>
    <row r="899" spans="6:7" x14ac:dyDescent="0.2">
      <c r="F899" s="86"/>
    </row>
    <row r="900" spans="6:7" x14ac:dyDescent="0.2">
      <c r="F900" s="86"/>
    </row>
    <row r="901" spans="6:7" x14ac:dyDescent="0.2">
      <c r="F901" s="86"/>
    </row>
    <row r="902" spans="6:7" x14ac:dyDescent="0.2">
      <c r="F902" s="86"/>
    </row>
    <row r="903" spans="6:7" x14ac:dyDescent="0.2">
      <c r="F903" s="86"/>
    </row>
    <row r="904" spans="6:7" x14ac:dyDescent="0.2">
      <c r="F904" s="86"/>
    </row>
    <row r="905" spans="6:7" x14ac:dyDescent="0.2">
      <c r="F905" s="86"/>
    </row>
    <row r="906" spans="6:7" x14ac:dyDescent="0.2">
      <c r="F906" s="86"/>
    </row>
    <row r="907" spans="6:7" x14ac:dyDescent="0.2">
      <c r="F907" s="86"/>
    </row>
    <row r="908" spans="6:7" x14ac:dyDescent="0.2">
      <c r="F908" s="86"/>
    </row>
    <row r="909" spans="6:7" x14ac:dyDescent="0.2">
      <c r="F909" s="86"/>
    </row>
    <row r="910" spans="6:7" x14ac:dyDescent="0.2">
      <c r="F910" s="86"/>
    </row>
    <row r="911" spans="6:7" x14ac:dyDescent="0.2">
      <c r="F911" s="86"/>
      <c r="G911" s="81"/>
    </row>
    <row r="912" spans="6:7" x14ac:dyDescent="0.2">
      <c r="F912" s="86"/>
    </row>
    <row r="913" spans="6:6" x14ac:dyDescent="0.2">
      <c r="F913" s="86"/>
    </row>
    <row r="914" spans="6:6" x14ac:dyDescent="0.2">
      <c r="F914" s="86"/>
    </row>
    <row r="915" spans="6:6" x14ac:dyDescent="0.2">
      <c r="F915" s="86"/>
    </row>
    <row r="916" spans="6:6" x14ac:dyDescent="0.2">
      <c r="F916" s="86"/>
    </row>
    <row r="917" spans="6:6" x14ac:dyDescent="0.2">
      <c r="F917" s="86"/>
    </row>
    <row r="918" spans="6:6" x14ac:dyDescent="0.2">
      <c r="F918" s="86"/>
    </row>
    <row r="919" spans="6:6" x14ac:dyDescent="0.2">
      <c r="F919" s="86"/>
    </row>
    <row r="920" spans="6:6" x14ac:dyDescent="0.2">
      <c r="F920" s="86"/>
    </row>
    <row r="921" spans="6:6" x14ac:dyDescent="0.2">
      <c r="F921" s="86"/>
    </row>
    <row r="922" spans="6:6" x14ac:dyDescent="0.2">
      <c r="F922" s="86"/>
    </row>
    <row r="923" spans="6:6" x14ac:dyDescent="0.2">
      <c r="F923" s="86"/>
    </row>
    <row r="924" spans="6:6" x14ac:dyDescent="0.2">
      <c r="F924" s="86"/>
    </row>
    <row r="925" spans="6:6" x14ac:dyDescent="0.2">
      <c r="F925" s="86"/>
    </row>
    <row r="926" spans="6:6" x14ac:dyDescent="0.2">
      <c r="F926" s="86"/>
    </row>
    <row r="927" spans="6:6" x14ac:dyDescent="0.2">
      <c r="F927" s="86"/>
    </row>
    <row r="928" spans="6:6" x14ac:dyDescent="0.2">
      <c r="F928" s="86"/>
    </row>
    <row r="929" spans="6:6" x14ac:dyDescent="0.2">
      <c r="F929" s="86"/>
    </row>
    <row r="930" spans="6:6" x14ac:dyDescent="0.2">
      <c r="F930" s="86"/>
    </row>
    <row r="931" spans="6:6" x14ac:dyDescent="0.2">
      <c r="F931" s="86"/>
    </row>
    <row r="932" spans="6:6" x14ac:dyDescent="0.2">
      <c r="F932" s="86"/>
    </row>
    <row r="933" spans="6:6" x14ac:dyDescent="0.2">
      <c r="F933" s="86"/>
    </row>
    <row r="934" spans="6:6" x14ac:dyDescent="0.2">
      <c r="F934" s="86"/>
    </row>
    <row r="935" spans="6:6" x14ac:dyDescent="0.2">
      <c r="F935" s="86"/>
    </row>
    <row r="936" spans="6:6" x14ac:dyDescent="0.2">
      <c r="F936" s="86"/>
    </row>
    <row r="937" spans="6:6" x14ac:dyDescent="0.2">
      <c r="F937" s="86"/>
    </row>
    <row r="938" spans="6:6" x14ac:dyDescent="0.2">
      <c r="F938" s="86"/>
    </row>
    <row r="939" spans="6:6" x14ac:dyDescent="0.2">
      <c r="F939" s="86"/>
    </row>
    <row r="940" spans="6:6" x14ac:dyDescent="0.2">
      <c r="F940" s="86"/>
    </row>
    <row r="941" spans="6:6" x14ac:dyDescent="0.2">
      <c r="F941" s="86"/>
    </row>
    <row r="942" spans="6:6" x14ac:dyDescent="0.2">
      <c r="F942" s="86"/>
    </row>
    <row r="943" spans="6:6" x14ac:dyDescent="0.2">
      <c r="F943" s="86"/>
    </row>
    <row r="944" spans="6:6" x14ac:dyDescent="0.2">
      <c r="F944" s="86"/>
    </row>
    <row r="945" spans="6:7" x14ac:dyDescent="0.2">
      <c r="F945" s="86"/>
    </row>
    <row r="946" spans="6:7" x14ac:dyDescent="0.2">
      <c r="F946" s="86"/>
    </row>
    <row r="947" spans="6:7" x14ac:dyDescent="0.2">
      <c r="F947" s="86"/>
    </row>
    <row r="948" spans="6:7" x14ac:dyDescent="0.2">
      <c r="F948" s="86"/>
    </row>
    <row r="949" spans="6:7" x14ac:dyDescent="0.2">
      <c r="F949" s="86"/>
    </row>
    <row r="950" spans="6:7" x14ac:dyDescent="0.2">
      <c r="F950" s="86"/>
    </row>
    <row r="951" spans="6:7" x14ac:dyDescent="0.2">
      <c r="F951" s="86"/>
      <c r="G951" s="82"/>
    </row>
    <row r="952" spans="6:7" x14ac:dyDescent="0.2">
      <c r="F952" s="86"/>
    </row>
    <row r="953" spans="6:7" x14ac:dyDescent="0.2">
      <c r="F953" s="86"/>
    </row>
    <row r="954" spans="6:7" x14ac:dyDescent="0.2">
      <c r="F954" s="86"/>
    </row>
    <row r="955" spans="6:7" x14ac:dyDescent="0.2">
      <c r="F955" s="86"/>
    </row>
    <row r="956" spans="6:7" x14ac:dyDescent="0.2">
      <c r="F956" s="86"/>
    </row>
    <row r="957" spans="6:7" x14ac:dyDescent="0.2">
      <c r="F957" s="86"/>
    </row>
    <row r="958" spans="6:7" x14ac:dyDescent="0.2">
      <c r="F958" s="86"/>
    </row>
    <row r="959" spans="6:7" x14ac:dyDescent="0.2">
      <c r="F959" s="86"/>
    </row>
    <row r="960" spans="6:7" x14ac:dyDescent="0.2">
      <c r="F960" s="86"/>
    </row>
    <row r="961" spans="6:6" x14ac:dyDescent="0.2">
      <c r="F961" s="86"/>
    </row>
    <row r="962" spans="6:6" x14ac:dyDescent="0.2">
      <c r="F962" s="86"/>
    </row>
    <row r="963" spans="6:6" x14ac:dyDescent="0.2">
      <c r="F963" s="86"/>
    </row>
    <row r="964" spans="6:6" x14ac:dyDescent="0.2">
      <c r="F964" s="86"/>
    </row>
    <row r="965" spans="6:6" x14ac:dyDescent="0.2">
      <c r="F965" s="86"/>
    </row>
    <row r="966" spans="6:6" x14ac:dyDescent="0.2">
      <c r="F966" s="86"/>
    </row>
    <row r="967" spans="6:6" x14ac:dyDescent="0.2">
      <c r="F967" s="86"/>
    </row>
    <row r="968" spans="6:6" x14ac:dyDescent="0.2">
      <c r="F968" s="86"/>
    </row>
    <row r="969" spans="6:6" x14ac:dyDescent="0.2">
      <c r="F969" s="86"/>
    </row>
    <row r="970" spans="6:6" x14ac:dyDescent="0.2">
      <c r="F970" s="86"/>
    </row>
    <row r="971" spans="6:6" x14ac:dyDescent="0.2">
      <c r="F971" s="86"/>
    </row>
    <row r="972" spans="6:6" x14ac:dyDescent="0.2">
      <c r="F972" s="86"/>
    </row>
    <row r="973" spans="6:6" x14ac:dyDescent="0.2">
      <c r="F973" s="86"/>
    </row>
    <row r="974" spans="6:6" x14ac:dyDescent="0.2">
      <c r="F974" s="86"/>
    </row>
    <row r="975" spans="6:6" x14ac:dyDescent="0.2">
      <c r="F975" s="86"/>
    </row>
    <row r="976" spans="6:6" x14ac:dyDescent="0.2">
      <c r="F976" s="86"/>
    </row>
    <row r="977" spans="6:6" x14ac:dyDescent="0.2">
      <c r="F977" s="86"/>
    </row>
    <row r="978" spans="6:6" x14ac:dyDescent="0.2">
      <c r="F978" s="86"/>
    </row>
    <row r="979" spans="6:6" x14ac:dyDescent="0.2">
      <c r="F979" s="86"/>
    </row>
    <row r="980" spans="6:6" x14ac:dyDescent="0.2">
      <c r="F980" s="86"/>
    </row>
    <row r="981" spans="6:6" x14ac:dyDescent="0.2">
      <c r="F981" s="86"/>
    </row>
    <row r="982" spans="6:6" x14ac:dyDescent="0.2">
      <c r="F982" s="86"/>
    </row>
    <row r="983" spans="6:6" x14ac:dyDescent="0.2">
      <c r="F983" s="86"/>
    </row>
    <row r="984" spans="6:6" x14ac:dyDescent="0.2">
      <c r="F984" s="86"/>
    </row>
    <row r="985" spans="6:6" x14ac:dyDescent="0.2">
      <c r="F985" s="86"/>
    </row>
    <row r="986" spans="6:6" x14ac:dyDescent="0.2">
      <c r="F986" s="86"/>
    </row>
    <row r="987" spans="6:6" x14ac:dyDescent="0.2">
      <c r="F987" s="86"/>
    </row>
    <row r="988" spans="6:6" x14ac:dyDescent="0.2">
      <c r="F988" s="86"/>
    </row>
    <row r="989" spans="6:6" x14ac:dyDescent="0.2">
      <c r="F989" s="86"/>
    </row>
    <row r="990" spans="6:6" x14ac:dyDescent="0.2">
      <c r="F990" s="86"/>
    </row>
    <row r="991" spans="6:6" x14ac:dyDescent="0.2">
      <c r="F991" s="86"/>
    </row>
    <row r="992" spans="6:6" x14ac:dyDescent="0.2">
      <c r="F992" s="86"/>
    </row>
    <row r="993" spans="6:6" x14ac:dyDescent="0.2">
      <c r="F993" s="86"/>
    </row>
    <row r="994" spans="6:6" x14ac:dyDescent="0.2">
      <c r="F994" s="86"/>
    </row>
    <row r="995" spans="6:6" x14ac:dyDescent="0.2">
      <c r="F995" s="86"/>
    </row>
    <row r="996" spans="6:6" x14ac:dyDescent="0.2">
      <c r="F996" s="86"/>
    </row>
    <row r="997" spans="6:6" x14ac:dyDescent="0.2">
      <c r="F997" s="86"/>
    </row>
    <row r="998" spans="6:6" x14ac:dyDescent="0.2">
      <c r="F998" s="86"/>
    </row>
    <row r="999" spans="6:6" x14ac:dyDescent="0.2">
      <c r="F999" s="86"/>
    </row>
    <row r="1000" spans="6:6" x14ac:dyDescent="0.2">
      <c r="F1000" s="86"/>
    </row>
    <row r="1001" spans="6:6" x14ac:dyDescent="0.2">
      <c r="F1001" s="86"/>
    </row>
    <row r="1002" spans="6:6" x14ac:dyDescent="0.2">
      <c r="F1002" s="86"/>
    </row>
    <row r="1003" spans="6:6" x14ac:dyDescent="0.2">
      <c r="F1003" s="86"/>
    </row>
    <row r="1004" spans="6:6" x14ac:dyDescent="0.2">
      <c r="F1004" s="86"/>
    </row>
    <row r="1005" spans="6:6" x14ac:dyDescent="0.2">
      <c r="F1005" s="86"/>
    </row>
    <row r="1006" spans="6:6" x14ac:dyDescent="0.2">
      <c r="F1006" s="86"/>
    </row>
    <row r="1007" spans="6:6" x14ac:dyDescent="0.2">
      <c r="F1007" s="86"/>
    </row>
    <row r="1008" spans="6:6" x14ac:dyDescent="0.2">
      <c r="F1008" s="86"/>
    </row>
    <row r="1009" spans="6:6" x14ac:dyDescent="0.2">
      <c r="F1009" s="86"/>
    </row>
    <row r="1010" spans="6:6" x14ac:dyDescent="0.2">
      <c r="F1010" s="86"/>
    </row>
    <row r="1011" spans="6:6" x14ac:dyDescent="0.2">
      <c r="F1011" s="86"/>
    </row>
    <row r="1012" spans="6:6" x14ac:dyDescent="0.2">
      <c r="F1012" s="86"/>
    </row>
    <row r="1013" spans="6:6" x14ac:dyDescent="0.2">
      <c r="F1013" s="86"/>
    </row>
    <row r="1014" spans="6:6" x14ac:dyDescent="0.2">
      <c r="F1014" s="86"/>
    </row>
    <row r="1015" spans="6:6" x14ac:dyDescent="0.2">
      <c r="F1015" s="86"/>
    </row>
    <row r="1016" spans="6:6" x14ac:dyDescent="0.2">
      <c r="F1016" s="86"/>
    </row>
    <row r="1017" spans="6:6" x14ac:dyDescent="0.2">
      <c r="F1017" s="86"/>
    </row>
    <row r="1018" spans="6:6" x14ac:dyDescent="0.2">
      <c r="F1018" s="86"/>
    </row>
    <row r="1019" spans="6:6" x14ac:dyDescent="0.2">
      <c r="F1019" s="86"/>
    </row>
    <row r="1020" spans="6:6" x14ac:dyDescent="0.2">
      <c r="F1020" s="86"/>
    </row>
    <row r="1021" spans="6:6" x14ac:dyDescent="0.2">
      <c r="F1021" s="86"/>
    </row>
    <row r="1022" spans="6:6" x14ac:dyDescent="0.2">
      <c r="F1022" s="86"/>
    </row>
    <row r="1023" spans="6:6" x14ac:dyDescent="0.2">
      <c r="F1023" s="86"/>
    </row>
    <row r="1024" spans="6:6" x14ac:dyDescent="0.2">
      <c r="F1024" s="86"/>
    </row>
    <row r="1025" spans="6:6" x14ac:dyDescent="0.2">
      <c r="F1025" s="86"/>
    </row>
    <row r="1026" spans="6:6" x14ac:dyDescent="0.2">
      <c r="F1026" s="86"/>
    </row>
    <row r="1027" spans="6:6" x14ac:dyDescent="0.2">
      <c r="F1027" s="86"/>
    </row>
    <row r="1028" spans="6:6" x14ac:dyDescent="0.2">
      <c r="F1028" s="86"/>
    </row>
    <row r="1029" spans="6:6" x14ac:dyDescent="0.2">
      <c r="F1029" s="86"/>
    </row>
    <row r="1030" spans="6:6" x14ac:dyDescent="0.2">
      <c r="F1030" s="86"/>
    </row>
    <row r="1031" spans="6:6" x14ac:dyDescent="0.2">
      <c r="F1031" s="86"/>
    </row>
    <row r="1032" spans="6:6" x14ac:dyDescent="0.2">
      <c r="F1032" s="86"/>
    </row>
    <row r="1033" spans="6:6" x14ac:dyDescent="0.2">
      <c r="F1033" s="86"/>
    </row>
    <row r="1034" spans="6:6" x14ac:dyDescent="0.2">
      <c r="F1034" s="86"/>
    </row>
    <row r="1035" spans="6:6" x14ac:dyDescent="0.2">
      <c r="F1035" s="86"/>
    </row>
    <row r="1036" spans="6:6" x14ac:dyDescent="0.2">
      <c r="F1036" s="86"/>
    </row>
    <row r="1037" spans="6:6" x14ac:dyDescent="0.2">
      <c r="F1037" s="86"/>
    </row>
    <row r="1038" spans="6:6" x14ac:dyDescent="0.2">
      <c r="F1038" s="86"/>
    </row>
    <row r="1039" spans="6:6" x14ac:dyDescent="0.2">
      <c r="F1039" s="86"/>
    </row>
    <row r="1040" spans="6:6" x14ac:dyDescent="0.2">
      <c r="F1040" s="86"/>
    </row>
    <row r="1041" spans="6:6" x14ac:dyDescent="0.2">
      <c r="F1041" s="86"/>
    </row>
    <row r="1042" spans="6:6" x14ac:dyDescent="0.2">
      <c r="F1042" s="86"/>
    </row>
    <row r="1043" spans="6:6" x14ac:dyDescent="0.2">
      <c r="F1043" s="86"/>
    </row>
    <row r="1044" spans="6:6" x14ac:dyDescent="0.2">
      <c r="F1044" s="86"/>
    </row>
    <row r="1045" spans="6:6" x14ac:dyDescent="0.2">
      <c r="F1045" s="86"/>
    </row>
    <row r="1046" spans="6:6" x14ac:dyDescent="0.2">
      <c r="F1046" s="86"/>
    </row>
    <row r="1047" spans="6:6" x14ac:dyDescent="0.2">
      <c r="F1047" s="86"/>
    </row>
    <row r="1048" spans="6:6" x14ac:dyDescent="0.2">
      <c r="F1048" s="86"/>
    </row>
    <row r="1049" spans="6:6" x14ac:dyDescent="0.2">
      <c r="F1049" s="86"/>
    </row>
    <row r="1050" spans="6:6" x14ac:dyDescent="0.2">
      <c r="F1050" s="86"/>
    </row>
    <row r="1051" spans="6:6" x14ac:dyDescent="0.2">
      <c r="F1051" s="86"/>
    </row>
    <row r="1052" spans="6:6" x14ac:dyDescent="0.2">
      <c r="F1052" s="86"/>
    </row>
    <row r="1053" spans="6:6" x14ac:dyDescent="0.2">
      <c r="F1053" s="86"/>
    </row>
    <row r="1054" spans="6:6" x14ac:dyDescent="0.2">
      <c r="F1054" s="86"/>
    </row>
    <row r="1055" spans="6:6" x14ac:dyDescent="0.2">
      <c r="F1055" s="86"/>
    </row>
    <row r="1056" spans="6:6" x14ac:dyDescent="0.2">
      <c r="F1056" s="86"/>
    </row>
    <row r="1057" spans="6:6" x14ac:dyDescent="0.2">
      <c r="F1057" s="86"/>
    </row>
    <row r="1058" spans="6:6" x14ac:dyDescent="0.2">
      <c r="F1058" s="86"/>
    </row>
    <row r="1059" spans="6:6" x14ac:dyDescent="0.2">
      <c r="F1059" s="86"/>
    </row>
    <row r="1060" spans="6:6" x14ac:dyDescent="0.2">
      <c r="F1060" s="86"/>
    </row>
    <row r="1061" spans="6:6" x14ac:dyDescent="0.2">
      <c r="F1061" s="86"/>
    </row>
    <row r="1062" spans="6:6" x14ac:dyDescent="0.2">
      <c r="F1062" s="86"/>
    </row>
    <row r="1063" spans="6:6" x14ac:dyDescent="0.2">
      <c r="F1063" s="86"/>
    </row>
    <row r="1064" spans="6:6" x14ac:dyDescent="0.2">
      <c r="F1064" s="86"/>
    </row>
    <row r="1065" spans="6:6" x14ac:dyDescent="0.2">
      <c r="F1065" s="86"/>
    </row>
    <row r="1066" spans="6:6" x14ac:dyDescent="0.2">
      <c r="F1066" s="86"/>
    </row>
    <row r="1067" spans="6:6" x14ac:dyDescent="0.2">
      <c r="F1067" s="86"/>
    </row>
    <row r="1068" spans="6:6" x14ac:dyDescent="0.2">
      <c r="F1068" s="86"/>
    </row>
    <row r="1069" spans="6:6" x14ac:dyDescent="0.2">
      <c r="F1069" s="86"/>
    </row>
    <row r="1070" spans="6:6" x14ac:dyDescent="0.2">
      <c r="F1070" s="86"/>
    </row>
    <row r="1071" spans="6:6" x14ac:dyDescent="0.2">
      <c r="F1071" s="86"/>
    </row>
    <row r="1072" spans="6:6" x14ac:dyDescent="0.2">
      <c r="F1072" s="86"/>
    </row>
    <row r="1073" spans="6:6" x14ac:dyDescent="0.2">
      <c r="F1073" s="86"/>
    </row>
    <row r="1074" spans="6:6" x14ac:dyDescent="0.2">
      <c r="F1074" s="86"/>
    </row>
    <row r="1075" spans="6:6" x14ac:dyDescent="0.2">
      <c r="F1075" s="86"/>
    </row>
    <row r="1076" spans="6:6" x14ac:dyDescent="0.2">
      <c r="F1076" s="86"/>
    </row>
    <row r="1077" spans="6:6" x14ac:dyDescent="0.2">
      <c r="F1077" s="86"/>
    </row>
    <row r="1078" spans="6:6" x14ac:dyDescent="0.2">
      <c r="F1078" s="86"/>
    </row>
    <row r="1079" spans="6:6" x14ac:dyDescent="0.2">
      <c r="F1079" s="86"/>
    </row>
    <row r="1080" spans="6:6" x14ac:dyDescent="0.2">
      <c r="F1080" s="86"/>
    </row>
    <row r="1081" spans="6:6" x14ac:dyDescent="0.2">
      <c r="F1081" s="86"/>
    </row>
    <row r="1082" spans="6:6" x14ac:dyDescent="0.2">
      <c r="F1082" s="86"/>
    </row>
    <row r="1083" spans="6:6" x14ac:dyDescent="0.2">
      <c r="F1083" s="86"/>
    </row>
    <row r="1084" spans="6:6" x14ac:dyDescent="0.2">
      <c r="F1084" s="86"/>
    </row>
    <row r="1085" spans="6:6" x14ac:dyDescent="0.2">
      <c r="F1085" s="86"/>
    </row>
    <row r="1086" spans="6:6" x14ac:dyDescent="0.2">
      <c r="F1086" s="86"/>
    </row>
    <row r="1087" spans="6:6" x14ac:dyDescent="0.2">
      <c r="F1087" s="86"/>
    </row>
    <row r="1088" spans="6:6" x14ac:dyDescent="0.2">
      <c r="F1088" s="86"/>
    </row>
    <row r="1089" spans="6:6" x14ac:dyDescent="0.2">
      <c r="F1089" s="86"/>
    </row>
    <row r="1090" spans="6:6" x14ac:dyDescent="0.2">
      <c r="F1090" s="86"/>
    </row>
    <row r="1091" spans="6:6" x14ac:dyDescent="0.2">
      <c r="F1091" s="86"/>
    </row>
    <row r="1092" spans="6:6" x14ac:dyDescent="0.2">
      <c r="F1092" s="86"/>
    </row>
    <row r="1093" spans="6:6" x14ac:dyDescent="0.2">
      <c r="F1093" s="86"/>
    </row>
    <row r="1094" spans="6:6" x14ac:dyDescent="0.2">
      <c r="F1094" s="86"/>
    </row>
    <row r="1095" spans="6:6" x14ac:dyDescent="0.2">
      <c r="F1095" s="86"/>
    </row>
    <row r="1096" spans="6:6" x14ac:dyDescent="0.2">
      <c r="F1096" s="86"/>
    </row>
    <row r="1097" spans="6:6" x14ac:dyDescent="0.2">
      <c r="F1097" s="86"/>
    </row>
    <row r="1098" spans="6:6" x14ac:dyDescent="0.2">
      <c r="F1098" s="86"/>
    </row>
    <row r="1099" spans="6:6" x14ac:dyDescent="0.2">
      <c r="F1099" s="86"/>
    </row>
    <row r="1100" spans="6:6" x14ac:dyDescent="0.2">
      <c r="F1100" s="86"/>
    </row>
    <row r="1101" spans="6:6" x14ac:dyDescent="0.2">
      <c r="F1101" s="86"/>
    </row>
    <row r="1102" spans="6:6" x14ac:dyDescent="0.2">
      <c r="F1102" s="86"/>
    </row>
    <row r="1103" spans="6:6" x14ac:dyDescent="0.2">
      <c r="F1103" s="86"/>
    </row>
    <row r="1104" spans="6:6" x14ac:dyDescent="0.2">
      <c r="F1104" s="86"/>
    </row>
    <row r="1105" spans="6:6" x14ac:dyDescent="0.2">
      <c r="F1105" s="86"/>
    </row>
    <row r="1106" spans="6:6" x14ac:dyDescent="0.2">
      <c r="F1106" s="86"/>
    </row>
    <row r="1107" spans="6:6" x14ac:dyDescent="0.2">
      <c r="F1107" s="86"/>
    </row>
    <row r="1108" spans="6:6" x14ac:dyDescent="0.2">
      <c r="F1108" s="86"/>
    </row>
    <row r="1109" spans="6:6" x14ac:dyDescent="0.2">
      <c r="F1109" s="86"/>
    </row>
    <row r="1110" spans="6:6" x14ac:dyDescent="0.2">
      <c r="F1110" s="86"/>
    </row>
    <row r="1111" spans="6:6" x14ac:dyDescent="0.2">
      <c r="F1111" s="86"/>
    </row>
    <row r="1112" spans="6:6" x14ac:dyDescent="0.2">
      <c r="F1112" s="86"/>
    </row>
    <row r="1113" spans="6:6" x14ac:dyDescent="0.2">
      <c r="F1113" s="86"/>
    </row>
    <row r="1114" spans="6:6" x14ac:dyDescent="0.2">
      <c r="F1114" s="86"/>
    </row>
    <row r="1115" spans="6:6" x14ac:dyDescent="0.2">
      <c r="F1115" s="86"/>
    </row>
    <row r="1116" spans="6:6" x14ac:dyDescent="0.2">
      <c r="F1116" s="86"/>
    </row>
    <row r="1117" spans="6:6" x14ac:dyDescent="0.2">
      <c r="F1117" s="86"/>
    </row>
    <row r="1118" spans="6:6" x14ac:dyDescent="0.2">
      <c r="F1118" s="86"/>
    </row>
    <row r="1119" spans="6:6" x14ac:dyDescent="0.2">
      <c r="F1119" s="86"/>
    </row>
    <row r="1120" spans="6:6" x14ac:dyDescent="0.2">
      <c r="F1120" s="86"/>
    </row>
    <row r="1121" spans="6:6" x14ac:dyDescent="0.2">
      <c r="F1121" s="86"/>
    </row>
    <row r="1122" spans="6:6" x14ac:dyDescent="0.2">
      <c r="F1122" s="86"/>
    </row>
    <row r="1123" spans="6:6" x14ac:dyDescent="0.2">
      <c r="F1123" s="86"/>
    </row>
    <row r="1124" spans="6:6" x14ac:dyDescent="0.2">
      <c r="F1124" s="86"/>
    </row>
    <row r="1125" spans="6:6" x14ac:dyDescent="0.2">
      <c r="F1125" s="86"/>
    </row>
    <row r="1126" spans="6:6" x14ac:dyDescent="0.2">
      <c r="F1126" s="86"/>
    </row>
    <row r="1127" spans="6:6" x14ac:dyDescent="0.2">
      <c r="F1127" s="86"/>
    </row>
    <row r="1128" spans="6:6" x14ac:dyDescent="0.2">
      <c r="F1128" s="86"/>
    </row>
    <row r="1129" spans="6:6" x14ac:dyDescent="0.2">
      <c r="F1129" s="86"/>
    </row>
    <row r="1130" spans="6:6" x14ac:dyDescent="0.2">
      <c r="F1130" s="86"/>
    </row>
    <row r="1131" spans="6:6" x14ac:dyDescent="0.2">
      <c r="F1131" s="86"/>
    </row>
    <row r="1132" spans="6:6" x14ac:dyDescent="0.2">
      <c r="F1132" s="86"/>
    </row>
    <row r="1133" spans="6:6" x14ac:dyDescent="0.2">
      <c r="F1133" s="86"/>
    </row>
    <row r="1134" spans="6:6" x14ac:dyDescent="0.2">
      <c r="F1134" s="86"/>
    </row>
    <row r="1135" spans="6:6" x14ac:dyDescent="0.2">
      <c r="F1135" s="86"/>
    </row>
    <row r="1136" spans="6:6" x14ac:dyDescent="0.2">
      <c r="F1136" s="86"/>
    </row>
    <row r="1137" spans="6:6" x14ac:dyDescent="0.2">
      <c r="F1137" s="86"/>
    </row>
    <row r="1138" spans="6:6" x14ac:dyDescent="0.2">
      <c r="F1138" s="86"/>
    </row>
    <row r="1139" spans="6:6" x14ac:dyDescent="0.2">
      <c r="F1139" s="86"/>
    </row>
    <row r="1140" spans="6:6" x14ac:dyDescent="0.2">
      <c r="F1140" s="86"/>
    </row>
    <row r="1141" spans="6:6" x14ac:dyDescent="0.2">
      <c r="F1141" s="86"/>
    </row>
    <row r="1142" spans="6:6" x14ac:dyDescent="0.2">
      <c r="F1142" s="86"/>
    </row>
    <row r="1143" spans="6:6" x14ac:dyDescent="0.2">
      <c r="F1143" s="86"/>
    </row>
    <row r="1144" spans="6:6" x14ac:dyDescent="0.2">
      <c r="F1144" s="86"/>
    </row>
    <row r="1145" spans="6:6" x14ac:dyDescent="0.2">
      <c r="F1145" s="86"/>
    </row>
    <row r="1146" spans="6:6" x14ac:dyDescent="0.2">
      <c r="F1146" s="86"/>
    </row>
    <row r="1147" spans="6:6" x14ac:dyDescent="0.2">
      <c r="F1147" s="86"/>
    </row>
    <row r="1148" spans="6:6" x14ac:dyDescent="0.2">
      <c r="F1148" s="86"/>
    </row>
    <row r="1149" spans="6:6" x14ac:dyDescent="0.2">
      <c r="F1149" s="86"/>
    </row>
    <row r="1150" spans="6:6" x14ac:dyDescent="0.2">
      <c r="F1150" s="86"/>
    </row>
    <row r="1151" spans="6:6" x14ac:dyDescent="0.2">
      <c r="F1151" s="86"/>
    </row>
    <row r="1152" spans="6:6" x14ac:dyDescent="0.2">
      <c r="F1152" s="86"/>
    </row>
    <row r="1153" spans="6:6" x14ac:dyDescent="0.2">
      <c r="F1153" s="86"/>
    </row>
    <row r="1154" spans="6:6" x14ac:dyDescent="0.2">
      <c r="F1154" s="86"/>
    </row>
    <row r="1155" spans="6:6" x14ac:dyDescent="0.2">
      <c r="F1155" s="86"/>
    </row>
    <row r="1156" spans="6:6" x14ac:dyDescent="0.2">
      <c r="F1156" s="86"/>
    </row>
    <row r="1157" spans="6:6" x14ac:dyDescent="0.2">
      <c r="F1157" s="86"/>
    </row>
    <row r="1158" spans="6:6" x14ac:dyDescent="0.2">
      <c r="F1158" s="86"/>
    </row>
    <row r="1159" spans="6:6" x14ac:dyDescent="0.2">
      <c r="F1159" s="86"/>
    </row>
    <row r="1160" spans="6:6" x14ac:dyDescent="0.2">
      <c r="F1160" s="86"/>
    </row>
    <row r="1161" spans="6:6" x14ac:dyDescent="0.2">
      <c r="F1161" s="86"/>
    </row>
    <row r="1162" spans="6:6" x14ac:dyDescent="0.2">
      <c r="F1162" s="86"/>
    </row>
    <row r="1163" spans="6:6" x14ac:dyDescent="0.2">
      <c r="F1163" s="86"/>
    </row>
    <row r="1164" spans="6:6" x14ac:dyDescent="0.2">
      <c r="F1164" s="86"/>
    </row>
    <row r="1165" spans="6:6" x14ac:dyDescent="0.2">
      <c r="F1165" s="86"/>
    </row>
    <row r="1166" spans="6:6" x14ac:dyDescent="0.2">
      <c r="F1166" s="86"/>
    </row>
    <row r="1167" spans="6:6" x14ac:dyDescent="0.2">
      <c r="F1167" s="86"/>
    </row>
    <row r="1168" spans="6:6" x14ac:dyDescent="0.2">
      <c r="F1168" s="86"/>
    </row>
    <row r="1169" spans="6:6" x14ac:dyDescent="0.2">
      <c r="F1169" s="86"/>
    </row>
    <row r="1170" spans="6:6" x14ac:dyDescent="0.2">
      <c r="F1170" s="86"/>
    </row>
    <row r="1171" spans="6:6" x14ac:dyDescent="0.2">
      <c r="F1171" s="86"/>
    </row>
    <row r="1172" spans="6:6" x14ac:dyDescent="0.2">
      <c r="F1172" s="86"/>
    </row>
    <row r="1173" spans="6:6" x14ac:dyDescent="0.2">
      <c r="F1173" s="86"/>
    </row>
    <row r="1174" spans="6:6" x14ac:dyDescent="0.2">
      <c r="F1174" s="86"/>
    </row>
    <row r="1175" spans="6:6" x14ac:dyDescent="0.2">
      <c r="F1175" s="86"/>
    </row>
    <row r="1176" spans="6:6" x14ac:dyDescent="0.2">
      <c r="F1176" s="86"/>
    </row>
    <row r="1177" spans="6:6" x14ac:dyDescent="0.2">
      <c r="F1177" s="86"/>
    </row>
    <row r="1178" spans="6:6" x14ac:dyDescent="0.2">
      <c r="F1178" s="86"/>
    </row>
    <row r="1179" spans="6:6" x14ac:dyDescent="0.2">
      <c r="F1179" s="86"/>
    </row>
    <row r="1180" spans="6:6" x14ac:dyDescent="0.2">
      <c r="F1180" s="86"/>
    </row>
    <row r="1181" spans="6:6" x14ac:dyDescent="0.2">
      <c r="F1181" s="86"/>
    </row>
    <row r="1182" spans="6:6" x14ac:dyDescent="0.2">
      <c r="F1182" s="86"/>
    </row>
    <row r="1183" spans="6:6" x14ac:dyDescent="0.2">
      <c r="F1183" s="86"/>
    </row>
    <row r="1184" spans="6:6" x14ac:dyDescent="0.2">
      <c r="F1184" s="86"/>
    </row>
    <row r="1185" spans="6:6" x14ac:dyDescent="0.2">
      <c r="F1185" s="86"/>
    </row>
    <row r="1186" spans="6:6" x14ac:dyDescent="0.2">
      <c r="F1186" s="86"/>
    </row>
    <row r="1187" spans="6:6" x14ac:dyDescent="0.2">
      <c r="F1187" s="86"/>
    </row>
    <row r="1188" spans="6:6" x14ac:dyDescent="0.2">
      <c r="F1188" s="86"/>
    </row>
    <row r="1189" spans="6:6" x14ac:dyDescent="0.2">
      <c r="F1189" s="86"/>
    </row>
    <row r="1190" spans="6:6" x14ac:dyDescent="0.2">
      <c r="F1190" s="86"/>
    </row>
    <row r="1191" spans="6:6" x14ac:dyDescent="0.2">
      <c r="F1191" s="86"/>
    </row>
    <row r="1192" spans="6:6" x14ac:dyDescent="0.2">
      <c r="F1192" s="86"/>
    </row>
    <row r="1193" spans="6:6" x14ac:dyDescent="0.2">
      <c r="F1193" s="86"/>
    </row>
    <row r="1194" spans="6:6" x14ac:dyDescent="0.2">
      <c r="F1194" s="86"/>
    </row>
    <row r="1195" spans="6:6" x14ac:dyDescent="0.2">
      <c r="F1195" s="86"/>
    </row>
    <row r="1196" spans="6:6" x14ac:dyDescent="0.2">
      <c r="F1196" s="86"/>
    </row>
    <row r="1197" spans="6:6" x14ac:dyDescent="0.2">
      <c r="F1197" s="86"/>
    </row>
    <row r="1198" spans="6:6" x14ac:dyDescent="0.2">
      <c r="F1198" s="86"/>
    </row>
    <row r="1199" spans="6:6" x14ac:dyDescent="0.2">
      <c r="F1199" s="86"/>
    </row>
    <row r="1200" spans="6:6" x14ac:dyDescent="0.2">
      <c r="F1200" s="86"/>
    </row>
    <row r="1201" spans="6:6" x14ac:dyDescent="0.2">
      <c r="F1201" s="86"/>
    </row>
    <row r="1202" spans="6:6" x14ac:dyDescent="0.2">
      <c r="F1202" s="86"/>
    </row>
    <row r="1203" spans="6:6" x14ac:dyDescent="0.2">
      <c r="F1203" s="86"/>
    </row>
    <row r="1204" spans="6:6" x14ac:dyDescent="0.2">
      <c r="F1204" s="86"/>
    </row>
    <row r="1205" spans="6:6" x14ac:dyDescent="0.2">
      <c r="F1205" s="86"/>
    </row>
    <row r="1206" spans="6:6" x14ac:dyDescent="0.2">
      <c r="F1206" s="86"/>
    </row>
    <row r="1207" spans="6:6" x14ac:dyDescent="0.2">
      <c r="F1207" s="86"/>
    </row>
    <row r="1208" spans="6:6" x14ac:dyDescent="0.2">
      <c r="F1208" s="86"/>
    </row>
    <row r="1209" spans="6:6" x14ac:dyDescent="0.2">
      <c r="F1209" s="86"/>
    </row>
    <row r="1210" spans="6:6" x14ac:dyDescent="0.2">
      <c r="F1210" s="86"/>
    </row>
    <row r="1211" spans="6:6" x14ac:dyDescent="0.2">
      <c r="F1211" s="86"/>
    </row>
    <row r="1212" spans="6:6" x14ac:dyDescent="0.2">
      <c r="F1212" s="86"/>
    </row>
    <row r="1213" spans="6:6" x14ac:dyDescent="0.2">
      <c r="F1213" s="86"/>
    </row>
    <row r="1214" spans="6:6" x14ac:dyDescent="0.2">
      <c r="F1214" s="86"/>
    </row>
    <row r="1215" spans="6:6" x14ac:dyDescent="0.2">
      <c r="F1215" s="86"/>
    </row>
    <row r="1216" spans="6:6" x14ac:dyDescent="0.2">
      <c r="F1216" s="86"/>
    </row>
    <row r="1217" spans="6:6" x14ac:dyDescent="0.2">
      <c r="F1217" s="86"/>
    </row>
    <row r="1218" spans="6:6" x14ac:dyDescent="0.2">
      <c r="F1218" s="86"/>
    </row>
    <row r="1219" spans="6:6" x14ac:dyDescent="0.2">
      <c r="F1219" s="86"/>
    </row>
    <row r="1220" spans="6:6" x14ac:dyDescent="0.2">
      <c r="F1220" s="86"/>
    </row>
    <row r="1221" spans="6:6" x14ac:dyDescent="0.2">
      <c r="F1221" s="86"/>
    </row>
    <row r="1222" spans="6:6" x14ac:dyDescent="0.2">
      <c r="F1222" s="86"/>
    </row>
    <row r="1223" spans="6:6" x14ac:dyDescent="0.2">
      <c r="F1223" s="86"/>
    </row>
    <row r="1224" spans="6:6" x14ac:dyDescent="0.2">
      <c r="F1224" s="86"/>
    </row>
    <row r="1225" spans="6:6" x14ac:dyDescent="0.2">
      <c r="F1225" s="86"/>
    </row>
    <row r="1226" spans="6:6" x14ac:dyDescent="0.2">
      <c r="F1226" s="86"/>
    </row>
    <row r="1227" spans="6:6" x14ac:dyDescent="0.2">
      <c r="F1227" s="86"/>
    </row>
    <row r="1228" spans="6:6" x14ac:dyDescent="0.2">
      <c r="F1228" s="86"/>
    </row>
    <row r="1229" spans="6:6" x14ac:dyDescent="0.2">
      <c r="F1229" s="86"/>
    </row>
    <row r="1230" spans="6:6" x14ac:dyDescent="0.2">
      <c r="F1230" s="86"/>
    </row>
    <row r="1231" spans="6:6" x14ac:dyDescent="0.2">
      <c r="F1231" s="86"/>
    </row>
    <row r="1232" spans="6:6" x14ac:dyDescent="0.2">
      <c r="F1232" s="86"/>
    </row>
    <row r="1233" spans="6:6" x14ac:dyDescent="0.2">
      <c r="F1233" s="86"/>
    </row>
    <row r="1234" spans="6:6" x14ac:dyDescent="0.2">
      <c r="F1234" s="86"/>
    </row>
    <row r="1235" spans="6:6" x14ac:dyDescent="0.2">
      <c r="F1235" s="86"/>
    </row>
    <row r="1236" spans="6:6" x14ac:dyDescent="0.2">
      <c r="F1236" s="86"/>
    </row>
    <row r="1237" spans="6:6" x14ac:dyDescent="0.2">
      <c r="F1237" s="86"/>
    </row>
    <row r="1238" spans="6:6" x14ac:dyDescent="0.2">
      <c r="F1238" s="86"/>
    </row>
    <row r="1239" spans="6:6" x14ac:dyDescent="0.2">
      <c r="F1239" s="86"/>
    </row>
    <row r="1240" spans="6:6" x14ac:dyDescent="0.2">
      <c r="F1240" s="86"/>
    </row>
    <row r="1241" spans="6:6" x14ac:dyDescent="0.2">
      <c r="F1241" s="86"/>
    </row>
    <row r="1242" spans="6:6" x14ac:dyDescent="0.2">
      <c r="F1242" s="86"/>
    </row>
    <row r="1243" spans="6:6" x14ac:dyDescent="0.2">
      <c r="F1243" s="86"/>
    </row>
    <row r="1244" spans="6:6" x14ac:dyDescent="0.2">
      <c r="F1244" s="86"/>
    </row>
    <row r="1245" spans="6:6" x14ac:dyDescent="0.2">
      <c r="F1245" s="86"/>
    </row>
    <row r="1246" spans="6:6" x14ac:dyDescent="0.2">
      <c r="F1246" s="86"/>
    </row>
    <row r="1247" spans="6:6" x14ac:dyDescent="0.2">
      <c r="F1247" s="86"/>
    </row>
    <row r="1248" spans="6:6" x14ac:dyDescent="0.2">
      <c r="F1248" s="86"/>
    </row>
    <row r="1249" spans="6:6" x14ac:dyDescent="0.2">
      <c r="F1249" s="86"/>
    </row>
    <row r="1250" spans="6:6" x14ac:dyDescent="0.2">
      <c r="F1250" s="86"/>
    </row>
    <row r="1251" spans="6:6" x14ac:dyDescent="0.2">
      <c r="F1251" s="86"/>
    </row>
    <row r="1252" spans="6:6" x14ac:dyDescent="0.2">
      <c r="F1252" s="86"/>
    </row>
    <row r="1253" spans="6:6" x14ac:dyDescent="0.2">
      <c r="F1253" s="86"/>
    </row>
    <row r="1254" spans="6:6" x14ac:dyDescent="0.2">
      <c r="F1254" s="86"/>
    </row>
    <row r="1255" spans="6:6" x14ac:dyDescent="0.2">
      <c r="F1255" s="86"/>
    </row>
    <row r="1256" spans="6:6" x14ac:dyDescent="0.2">
      <c r="F1256" s="86"/>
    </row>
    <row r="1257" spans="6:6" x14ac:dyDescent="0.2">
      <c r="F1257" s="86"/>
    </row>
    <row r="1258" spans="6:6" x14ac:dyDescent="0.2">
      <c r="F1258" s="86"/>
    </row>
    <row r="1259" spans="6:6" x14ac:dyDescent="0.2">
      <c r="F1259" s="86"/>
    </row>
    <row r="1260" spans="6:6" x14ac:dyDescent="0.2">
      <c r="F1260" s="86"/>
    </row>
    <row r="1261" spans="6:6" x14ac:dyDescent="0.2">
      <c r="F1261" s="86"/>
    </row>
    <row r="1262" spans="6:6" x14ac:dyDescent="0.2">
      <c r="F1262" s="86"/>
    </row>
    <row r="1263" spans="6:6" x14ac:dyDescent="0.2">
      <c r="F1263" s="86"/>
    </row>
    <row r="1264" spans="6:6" x14ac:dyDescent="0.2">
      <c r="F1264" s="86"/>
    </row>
    <row r="1265" spans="6:6" x14ac:dyDescent="0.2">
      <c r="F1265" s="86"/>
    </row>
    <row r="1266" spans="6:6" x14ac:dyDescent="0.2">
      <c r="F1266" s="86"/>
    </row>
    <row r="1267" spans="6:6" x14ac:dyDescent="0.2">
      <c r="F1267" s="86"/>
    </row>
    <row r="1268" spans="6:6" x14ac:dyDescent="0.2">
      <c r="F1268" s="86"/>
    </row>
    <row r="1269" spans="6:6" x14ac:dyDescent="0.2">
      <c r="F1269" s="86"/>
    </row>
    <row r="1270" spans="6:6" x14ac:dyDescent="0.2">
      <c r="F1270" s="86"/>
    </row>
    <row r="1271" spans="6:6" x14ac:dyDescent="0.2">
      <c r="F1271" s="86"/>
    </row>
    <row r="1272" spans="6:6" x14ac:dyDescent="0.2">
      <c r="F1272" s="86"/>
    </row>
    <row r="1273" spans="6:6" x14ac:dyDescent="0.2">
      <c r="F1273" s="86"/>
    </row>
    <row r="1274" spans="6:6" x14ac:dyDescent="0.2">
      <c r="F1274" s="86"/>
    </row>
    <row r="1275" spans="6:6" x14ac:dyDescent="0.2">
      <c r="F1275" s="86"/>
    </row>
    <row r="1276" spans="6:6" x14ac:dyDescent="0.2">
      <c r="F1276" s="86"/>
    </row>
    <row r="1277" spans="6:6" x14ac:dyDescent="0.2">
      <c r="F1277" s="86"/>
    </row>
    <row r="1278" spans="6:6" x14ac:dyDescent="0.2">
      <c r="F1278" s="86"/>
    </row>
    <row r="1279" spans="6:6" x14ac:dyDescent="0.2">
      <c r="F1279" s="86"/>
    </row>
    <row r="1280" spans="6:6" x14ac:dyDescent="0.2">
      <c r="F1280" s="86"/>
    </row>
    <row r="1281" spans="6:6" x14ac:dyDescent="0.2">
      <c r="F1281" s="86"/>
    </row>
    <row r="1282" spans="6:6" x14ac:dyDescent="0.2">
      <c r="F1282" s="86"/>
    </row>
    <row r="1283" spans="6:6" x14ac:dyDescent="0.2">
      <c r="F1283" s="86"/>
    </row>
    <row r="1284" spans="6:6" x14ac:dyDescent="0.2">
      <c r="F1284" s="86"/>
    </row>
    <row r="1285" spans="6:6" x14ac:dyDescent="0.2">
      <c r="F1285" s="86"/>
    </row>
    <row r="1286" spans="6:6" x14ac:dyDescent="0.2">
      <c r="F1286" s="86"/>
    </row>
    <row r="1287" spans="6:6" x14ac:dyDescent="0.2">
      <c r="F1287" s="86"/>
    </row>
    <row r="1288" spans="6:6" x14ac:dyDescent="0.2">
      <c r="F1288" s="86"/>
    </row>
    <row r="1289" spans="6:6" x14ac:dyDescent="0.2">
      <c r="F1289" s="86"/>
    </row>
    <row r="1290" spans="6:6" x14ac:dyDescent="0.2">
      <c r="F1290" s="86"/>
    </row>
    <row r="1291" spans="6:6" x14ac:dyDescent="0.2">
      <c r="F1291" s="86"/>
    </row>
    <row r="1292" spans="6:6" x14ac:dyDescent="0.2">
      <c r="F1292" s="86"/>
    </row>
    <row r="1293" spans="6:6" x14ac:dyDescent="0.2">
      <c r="F1293" s="86"/>
    </row>
    <row r="1294" spans="6:6" x14ac:dyDescent="0.2">
      <c r="F1294" s="86"/>
    </row>
    <row r="1295" spans="6:6" x14ac:dyDescent="0.2">
      <c r="F1295" s="86"/>
    </row>
    <row r="1296" spans="6:6" x14ac:dyDescent="0.2">
      <c r="F1296" s="86"/>
    </row>
    <row r="1297" spans="6:6" x14ac:dyDescent="0.2">
      <c r="F1297" s="86"/>
    </row>
    <row r="1298" spans="6:6" x14ac:dyDescent="0.2">
      <c r="F1298" s="86"/>
    </row>
    <row r="1299" spans="6:6" x14ac:dyDescent="0.2">
      <c r="F1299" s="86"/>
    </row>
    <row r="1300" spans="6:6" x14ac:dyDescent="0.2">
      <c r="F1300" s="86"/>
    </row>
    <row r="1301" spans="6:6" x14ac:dyDescent="0.2">
      <c r="F1301" s="86"/>
    </row>
    <row r="1302" spans="6:6" x14ac:dyDescent="0.2">
      <c r="F1302" s="86"/>
    </row>
    <row r="1303" spans="6:6" x14ac:dyDescent="0.2">
      <c r="F1303" s="86"/>
    </row>
    <row r="1304" spans="6:6" x14ac:dyDescent="0.2">
      <c r="F1304" s="86"/>
    </row>
    <row r="1305" spans="6:6" x14ac:dyDescent="0.2">
      <c r="F1305" s="86"/>
    </row>
    <row r="1306" spans="6:6" x14ac:dyDescent="0.2">
      <c r="F1306" s="86"/>
    </row>
    <row r="1307" spans="6:6" x14ac:dyDescent="0.2">
      <c r="F1307" s="86"/>
    </row>
    <row r="1308" spans="6:6" x14ac:dyDescent="0.2">
      <c r="F1308" s="86"/>
    </row>
    <row r="1309" spans="6:6" x14ac:dyDescent="0.2">
      <c r="F1309" s="86"/>
    </row>
    <row r="1310" spans="6:6" x14ac:dyDescent="0.2">
      <c r="F1310" s="86"/>
    </row>
    <row r="1311" spans="6:6" x14ac:dyDescent="0.2">
      <c r="F1311" s="86"/>
    </row>
    <row r="1312" spans="6:6" x14ac:dyDescent="0.2">
      <c r="F1312" s="86"/>
    </row>
    <row r="1313" spans="6:6" x14ac:dyDescent="0.2">
      <c r="F1313" s="86"/>
    </row>
    <row r="1314" spans="6:6" x14ac:dyDescent="0.2">
      <c r="F1314" s="86"/>
    </row>
    <row r="1315" spans="6:6" x14ac:dyDescent="0.2">
      <c r="F1315" s="86"/>
    </row>
    <row r="1316" spans="6:6" x14ac:dyDescent="0.2">
      <c r="F1316" s="86"/>
    </row>
    <row r="1317" spans="6:6" x14ac:dyDescent="0.2">
      <c r="F1317" s="86"/>
    </row>
    <row r="1318" spans="6:6" x14ac:dyDescent="0.2">
      <c r="F1318" s="86"/>
    </row>
    <row r="1319" spans="6:6" x14ac:dyDescent="0.2">
      <c r="F1319" s="86"/>
    </row>
    <row r="1320" spans="6:6" x14ac:dyDescent="0.2">
      <c r="F1320" s="86"/>
    </row>
    <row r="1321" spans="6:6" x14ac:dyDescent="0.2">
      <c r="F1321" s="86"/>
    </row>
    <row r="1322" spans="6:6" x14ac:dyDescent="0.2">
      <c r="F1322" s="86"/>
    </row>
    <row r="1323" spans="6:6" x14ac:dyDescent="0.2">
      <c r="F1323" s="86"/>
    </row>
    <row r="1324" spans="6:6" x14ac:dyDescent="0.2">
      <c r="F1324" s="86"/>
    </row>
    <row r="1325" spans="6:6" x14ac:dyDescent="0.2">
      <c r="F1325" s="86"/>
    </row>
    <row r="1326" spans="6:6" x14ac:dyDescent="0.2">
      <c r="F1326" s="86"/>
    </row>
    <row r="1327" spans="6:6" x14ac:dyDescent="0.2">
      <c r="F1327" s="86"/>
    </row>
    <row r="1328" spans="6:6" x14ac:dyDescent="0.2">
      <c r="F1328" s="86"/>
    </row>
    <row r="1329" spans="6:6" x14ac:dyDescent="0.2">
      <c r="F1329" s="86"/>
    </row>
    <row r="1330" spans="6:6" x14ac:dyDescent="0.2">
      <c r="F1330" s="86"/>
    </row>
    <row r="1331" spans="6:6" x14ac:dyDescent="0.2">
      <c r="F1331" s="86"/>
    </row>
    <row r="1332" spans="6:6" x14ac:dyDescent="0.2">
      <c r="F1332" s="86"/>
    </row>
    <row r="1333" spans="6:6" x14ac:dyDescent="0.2">
      <c r="F1333" s="86"/>
    </row>
    <row r="1334" spans="6:6" x14ac:dyDescent="0.2">
      <c r="F1334" s="86"/>
    </row>
    <row r="1335" spans="6:6" x14ac:dyDescent="0.2">
      <c r="F1335" s="86"/>
    </row>
    <row r="1336" spans="6:6" x14ac:dyDescent="0.2">
      <c r="F1336" s="86"/>
    </row>
    <row r="1337" spans="6:6" x14ac:dyDescent="0.2">
      <c r="F1337" s="86"/>
    </row>
    <row r="1338" spans="6:6" x14ac:dyDescent="0.2">
      <c r="F1338" s="86"/>
    </row>
    <row r="1339" spans="6:6" x14ac:dyDescent="0.2">
      <c r="F1339" s="86"/>
    </row>
    <row r="1340" spans="6:6" x14ac:dyDescent="0.2">
      <c r="F1340" s="86"/>
    </row>
    <row r="1341" spans="6:6" x14ac:dyDescent="0.2">
      <c r="F1341" s="86"/>
    </row>
    <row r="1342" spans="6:6" x14ac:dyDescent="0.2">
      <c r="F1342" s="86"/>
    </row>
    <row r="1343" spans="6:6" x14ac:dyDescent="0.2">
      <c r="F1343" s="86"/>
    </row>
    <row r="1344" spans="6:6" x14ac:dyDescent="0.2">
      <c r="F1344" s="86"/>
    </row>
    <row r="1345" spans="6:6" x14ac:dyDescent="0.2">
      <c r="F1345" s="86"/>
    </row>
    <row r="1346" spans="6:6" x14ac:dyDescent="0.2">
      <c r="F1346" s="86"/>
    </row>
    <row r="1347" spans="6:6" x14ac:dyDescent="0.2">
      <c r="F1347" s="86"/>
    </row>
    <row r="1348" spans="6:6" x14ac:dyDescent="0.2">
      <c r="F1348" s="86"/>
    </row>
    <row r="1349" spans="6:6" x14ac:dyDescent="0.2">
      <c r="F1349" s="86"/>
    </row>
    <row r="1350" spans="6:6" x14ac:dyDescent="0.2">
      <c r="F1350" s="86"/>
    </row>
    <row r="1351" spans="6:6" x14ac:dyDescent="0.2">
      <c r="F1351" s="86"/>
    </row>
    <row r="1352" spans="6:6" x14ac:dyDescent="0.2">
      <c r="F1352" s="86"/>
    </row>
    <row r="1353" spans="6:6" x14ac:dyDescent="0.2">
      <c r="F1353" s="86"/>
    </row>
    <row r="1354" spans="6:6" x14ac:dyDescent="0.2">
      <c r="F1354" s="86"/>
    </row>
    <row r="1355" spans="6:6" x14ac:dyDescent="0.2">
      <c r="F1355" s="86"/>
    </row>
    <row r="1356" spans="6:6" x14ac:dyDescent="0.2">
      <c r="F1356" s="86"/>
    </row>
    <row r="1357" spans="6:6" x14ac:dyDescent="0.2">
      <c r="F1357" s="86"/>
    </row>
    <row r="1358" spans="6:6" x14ac:dyDescent="0.2">
      <c r="F1358" s="86"/>
    </row>
    <row r="1359" spans="6:6" x14ac:dyDescent="0.2">
      <c r="F1359" s="86"/>
    </row>
    <row r="1360" spans="6:6" x14ac:dyDescent="0.2">
      <c r="F1360" s="86"/>
    </row>
    <row r="1361" spans="6:6" x14ac:dyDescent="0.2">
      <c r="F1361" s="86"/>
    </row>
    <row r="1362" spans="6:6" x14ac:dyDescent="0.2">
      <c r="F1362" s="86"/>
    </row>
    <row r="1363" spans="6:6" x14ac:dyDescent="0.2">
      <c r="F1363" s="86"/>
    </row>
    <row r="1364" spans="6:6" x14ac:dyDescent="0.2">
      <c r="F1364" s="86"/>
    </row>
    <row r="1365" spans="6:6" x14ac:dyDescent="0.2">
      <c r="F1365" s="86"/>
    </row>
    <row r="1366" spans="6:6" x14ac:dyDescent="0.2">
      <c r="F1366" s="86"/>
    </row>
    <row r="1367" spans="6:6" x14ac:dyDescent="0.2">
      <c r="F1367" s="86"/>
    </row>
    <row r="1368" spans="6:6" x14ac:dyDescent="0.2">
      <c r="F1368" s="86"/>
    </row>
    <row r="1369" spans="6:6" x14ac:dyDescent="0.2">
      <c r="F1369" s="86"/>
    </row>
    <row r="1370" spans="6:6" x14ac:dyDescent="0.2">
      <c r="F1370" s="86"/>
    </row>
    <row r="1371" spans="6:6" x14ac:dyDescent="0.2">
      <c r="F1371" s="86"/>
    </row>
    <row r="1372" spans="6:6" x14ac:dyDescent="0.2">
      <c r="F1372" s="86"/>
    </row>
    <row r="1373" spans="6:6" x14ac:dyDescent="0.2">
      <c r="F1373" s="86"/>
    </row>
    <row r="1374" spans="6:6" x14ac:dyDescent="0.2">
      <c r="F1374" s="86"/>
    </row>
    <row r="1375" spans="6:6" x14ac:dyDescent="0.2">
      <c r="F1375" s="86"/>
    </row>
    <row r="1376" spans="6:6" x14ac:dyDescent="0.2">
      <c r="F1376" s="86"/>
    </row>
    <row r="1377" spans="6:6" x14ac:dyDescent="0.2">
      <c r="F1377" s="86"/>
    </row>
    <row r="1378" spans="6:6" x14ac:dyDescent="0.2">
      <c r="F1378" s="86"/>
    </row>
    <row r="1379" spans="6:6" x14ac:dyDescent="0.2">
      <c r="F1379" s="86"/>
    </row>
    <row r="1380" spans="6:6" x14ac:dyDescent="0.2">
      <c r="F1380" s="86"/>
    </row>
    <row r="1381" spans="6:6" x14ac:dyDescent="0.2">
      <c r="F1381" s="86"/>
    </row>
    <row r="1382" spans="6:6" x14ac:dyDescent="0.2">
      <c r="F1382" s="86"/>
    </row>
    <row r="1383" spans="6:6" x14ac:dyDescent="0.2">
      <c r="F1383" s="86"/>
    </row>
    <row r="1384" spans="6:6" x14ac:dyDescent="0.2">
      <c r="F1384" s="86"/>
    </row>
    <row r="1385" spans="6:6" x14ac:dyDescent="0.2">
      <c r="F1385" s="86"/>
    </row>
    <row r="1386" spans="6:6" x14ac:dyDescent="0.2">
      <c r="F1386" s="86"/>
    </row>
    <row r="1387" spans="6:6" x14ac:dyDescent="0.2">
      <c r="F1387" s="86"/>
    </row>
    <row r="1388" spans="6:6" x14ac:dyDescent="0.2">
      <c r="F1388" s="86"/>
    </row>
    <row r="1389" spans="6:6" x14ac:dyDescent="0.2">
      <c r="F1389" s="86"/>
    </row>
    <row r="1390" spans="6:6" x14ac:dyDescent="0.2">
      <c r="F1390" s="86"/>
    </row>
    <row r="1391" spans="6:6" x14ac:dyDescent="0.2">
      <c r="F1391" s="86"/>
    </row>
    <row r="1392" spans="6:6" x14ac:dyDescent="0.2">
      <c r="F1392" s="86"/>
    </row>
    <row r="1393" spans="6:6" x14ac:dyDescent="0.2">
      <c r="F1393" s="86"/>
    </row>
    <row r="1394" spans="6:6" x14ac:dyDescent="0.2">
      <c r="F1394" s="86"/>
    </row>
    <row r="1395" spans="6:6" x14ac:dyDescent="0.2">
      <c r="F1395" s="86"/>
    </row>
    <row r="1396" spans="6:6" x14ac:dyDescent="0.2">
      <c r="F1396" s="86"/>
    </row>
    <row r="1397" spans="6:6" x14ac:dyDescent="0.2">
      <c r="F1397" s="86"/>
    </row>
    <row r="1398" spans="6:6" x14ac:dyDescent="0.2">
      <c r="F1398" s="86"/>
    </row>
    <row r="1399" spans="6:6" x14ac:dyDescent="0.2">
      <c r="F1399" s="86"/>
    </row>
    <row r="1400" spans="6:6" x14ac:dyDescent="0.2">
      <c r="F1400" s="86"/>
    </row>
    <row r="1401" spans="6:6" x14ac:dyDescent="0.2">
      <c r="F1401" s="86"/>
    </row>
    <row r="1402" spans="6:6" x14ac:dyDescent="0.2">
      <c r="F1402" s="86"/>
    </row>
    <row r="1403" spans="6:6" x14ac:dyDescent="0.2">
      <c r="F1403" s="86"/>
    </row>
    <row r="1404" spans="6:6" x14ac:dyDescent="0.2">
      <c r="F1404" s="86"/>
    </row>
    <row r="1405" spans="6:6" x14ac:dyDescent="0.2">
      <c r="F1405" s="86"/>
    </row>
    <row r="1406" spans="6:6" x14ac:dyDescent="0.2">
      <c r="F1406" s="86"/>
    </row>
    <row r="1407" spans="6:6" x14ac:dyDescent="0.2">
      <c r="F1407" s="86"/>
    </row>
    <row r="1408" spans="6:6" x14ac:dyDescent="0.2">
      <c r="F1408" s="86"/>
    </row>
    <row r="1409" spans="6:6" x14ac:dyDescent="0.2">
      <c r="F1409" s="86"/>
    </row>
    <row r="1410" spans="6:6" x14ac:dyDescent="0.2">
      <c r="F1410" s="86"/>
    </row>
    <row r="1411" spans="6:6" x14ac:dyDescent="0.2">
      <c r="F1411" s="86"/>
    </row>
    <row r="1412" spans="6:6" x14ac:dyDescent="0.2">
      <c r="F1412" s="86"/>
    </row>
    <row r="1413" spans="6:6" x14ac:dyDescent="0.2">
      <c r="F1413" s="86"/>
    </row>
    <row r="1414" spans="6:6" x14ac:dyDescent="0.2">
      <c r="F1414" s="86"/>
    </row>
    <row r="1415" spans="6:6" x14ac:dyDescent="0.2">
      <c r="F1415" s="86"/>
    </row>
    <row r="1416" spans="6:6" x14ac:dyDescent="0.2">
      <c r="F1416" s="86"/>
    </row>
    <row r="1417" spans="6:6" x14ac:dyDescent="0.2">
      <c r="F1417" s="86"/>
    </row>
    <row r="1418" spans="6:6" x14ac:dyDescent="0.2">
      <c r="F1418" s="86"/>
    </row>
    <row r="1419" spans="6:6" x14ac:dyDescent="0.2">
      <c r="F1419" s="86"/>
    </row>
    <row r="1420" spans="6:6" x14ac:dyDescent="0.2">
      <c r="F1420" s="86"/>
    </row>
    <row r="1421" spans="6:6" x14ac:dyDescent="0.2">
      <c r="F1421" s="86"/>
    </row>
    <row r="1422" spans="6:6" x14ac:dyDescent="0.2">
      <c r="F1422" s="86"/>
    </row>
    <row r="1423" spans="6:6" x14ac:dyDescent="0.2">
      <c r="F1423" s="86"/>
    </row>
    <row r="1424" spans="6:6" x14ac:dyDescent="0.2">
      <c r="F1424" s="86"/>
    </row>
    <row r="1425" spans="6:7" x14ac:dyDescent="0.2">
      <c r="F1425" s="86"/>
    </row>
    <row r="1426" spans="6:7" x14ac:dyDescent="0.2">
      <c r="F1426" s="86"/>
    </row>
    <row r="1427" spans="6:7" x14ac:dyDescent="0.2">
      <c r="F1427" s="86"/>
    </row>
    <row r="1428" spans="6:7" x14ac:dyDescent="0.2">
      <c r="F1428" s="86"/>
    </row>
    <row r="1429" spans="6:7" x14ac:dyDescent="0.2">
      <c r="F1429" s="86"/>
    </row>
    <row r="1430" spans="6:7" x14ac:dyDescent="0.2">
      <c r="F1430" s="86"/>
    </row>
    <row r="1431" spans="6:7" x14ac:dyDescent="0.2">
      <c r="F1431" s="86"/>
      <c r="G1431" s="81"/>
    </row>
    <row r="1432" spans="6:7" x14ac:dyDescent="0.2">
      <c r="F1432" s="86"/>
    </row>
    <row r="1433" spans="6:7" x14ac:dyDescent="0.2">
      <c r="F1433" s="86"/>
    </row>
    <row r="1434" spans="6:7" x14ac:dyDescent="0.2">
      <c r="F1434" s="86"/>
    </row>
    <row r="1435" spans="6:7" x14ac:dyDescent="0.2">
      <c r="F1435" s="86"/>
    </row>
    <row r="1436" spans="6:7" x14ac:dyDescent="0.2">
      <c r="F1436" s="86"/>
    </row>
    <row r="1437" spans="6:7" x14ac:dyDescent="0.2">
      <c r="F1437" s="86"/>
    </row>
    <row r="1438" spans="6:7" x14ac:dyDescent="0.2">
      <c r="F1438" s="86"/>
    </row>
    <row r="1439" spans="6:7" x14ac:dyDescent="0.2">
      <c r="F1439" s="86"/>
    </row>
    <row r="1440" spans="6:7" x14ac:dyDescent="0.2">
      <c r="F1440" s="86"/>
    </row>
    <row r="1441" spans="6:6" x14ac:dyDescent="0.2">
      <c r="F1441" s="86"/>
    </row>
    <row r="1442" spans="6:6" x14ac:dyDescent="0.2">
      <c r="F1442" s="86"/>
    </row>
    <row r="1443" spans="6:6" x14ac:dyDescent="0.2">
      <c r="F1443" s="86"/>
    </row>
    <row r="1444" spans="6:6" x14ac:dyDescent="0.2">
      <c r="F1444" s="86"/>
    </row>
    <row r="1445" spans="6:6" x14ac:dyDescent="0.2">
      <c r="F1445" s="86"/>
    </row>
    <row r="1446" spans="6:6" x14ac:dyDescent="0.2">
      <c r="F1446" s="86"/>
    </row>
    <row r="1447" spans="6:6" x14ac:dyDescent="0.2">
      <c r="F1447" s="86"/>
    </row>
    <row r="1448" spans="6:6" x14ac:dyDescent="0.2">
      <c r="F1448" s="86"/>
    </row>
    <row r="1449" spans="6:6" x14ac:dyDescent="0.2">
      <c r="F1449" s="86"/>
    </row>
    <row r="1450" spans="6:6" x14ac:dyDescent="0.2">
      <c r="F1450" s="86"/>
    </row>
    <row r="1451" spans="6:6" x14ac:dyDescent="0.2">
      <c r="F1451" s="86"/>
    </row>
    <row r="1452" spans="6:6" x14ac:dyDescent="0.2">
      <c r="F1452" s="86"/>
    </row>
  </sheetData>
  <sheetProtection algorithmName="SHA-512" hashValue="VnB/mYFTDEl9ScVd50+KhjOcQepuKkw6D4abRjnTj8pVoI368puLurXLOkR7ppx7AsizwX6CPyo1U8AMhwkY+g==" saltValue="72HDykuvrsq9PyS5Z/frTA==" spinCount="100000" sheet="1" objects="1" scenarios="1"/>
  <sortState xmlns:xlrd2="http://schemas.microsoft.com/office/spreadsheetml/2017/richdata2" ref="E58:E79">
    <sortCondition ref="E79"/>
  </sortState>
  <mergeCells count="83">
    <mergeCell ref="L58:L60"/>
    <mergeCell ref="L62:L67"/>
    <mergeCell ref="L69:L71"/>
    <mergeCell ref="L48:L49"/>
    <mergeCell ref="L50:L51"/>
    <mergeCell ref="L52:L53"/>
    <mergeCell ref="L54:L55"/>
    <mergeCell ref="L56:L57"/>
    <mergeCell ref="L44:L45"/>
    <mergeCell ref="L21:L22"/>
    <mergeCell ref="L23:L24"/>
    <mergeCell ref="L25:L26"/>
    <mergeCell ref="L27:L28"/>
    <mergeCell ref="L29:L30"/>
    <mergeCell ref="L31:L33"/>
    <mergeCell ref="L34:L35"/>
    <mergeCell ref="L36:L37"/>
    <mergeCell ref="L38:L39"/>
    <mergeCell ref="L40:L41"/>
    <mergeCell ref="L42:L43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3"/>
    <mergeCell ref="K34:K35"/>
    <mergeCell ref="K36:K37"/>
    <mergeCell ref="K38:K39"/>
    <mergeCell ref="K40:K41"/>
    <mergeCell ref="K42:K43"/>
    <mergeCell ref="K44:K45"/>
    <mergeCell ref="K46:K47"/>
    <mergeCell ref="K48:K49"/>
    <mergeCell ref="K50:K51"/>
    <mergeCell ref="K52:K53"/>
    <mergeCell ref="K54:K55"/>
    <mergeCell ref="K56:K57"/>
    <mergeCell ref="K58:K59"/>
    <mergeCell ref="K60:K61"/>
    <mergeCell ref="K62:K63"/>
    <mergeCell ref="K79:K80"/>
    <mergeCell ref="K81:K82"/>
    <mergeCell ref="K83:K84"/>
    <mergeCell ref="K64:K65"/>
    <mergeCell ref="K67:K68"/>
    <mergeCell ref="K69:K70"/>
    <mergeCell ref="K71:K72"/>
    <mergeCell ref="K73:K74"/>
    <mergeCell ref="L46:L47"/>
    <mergeCell ref="K105:K106"/>
    <mergeCell ref="K107:K108"/>
    <mergeCell ref="K109:K110"/>
    <mergeCell ref="K95:K96"/>
    <mergeCell ref="K97:K98"/>
    <mergeCell ref="K99:K100"/>
    <mergeCell ref="K101:K102"/>
    <mergeCell ref="K103:K104"/>
    <mergeCell ref="K85:K86"/>
    <mergeCell ref="K87:K88"/>
    <mergeCell ref="K89:K90"/>
    <mergeCell ref="K91:K92"/>
    <mergeCell ref="K93:K94"/>
    <mergeCell ref="K75:K76"/>
    <mergeCell ref="K77:K7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baseColWidth="10" defaultColWidth="9.1640625" defaultRowHeight="15" x14ac:dyDescent="0.2"/>
  <cols>
    <col min="1" max="1" width="9.6640625" bestFit="1" customWidth="1"/>
    <col min="2" max="2" width="11.33203125" customWidth="1"/>
    <col min="3" max="8" width="11.5" customWidth="1"/>
  </cols>
  <sheetData>
    <row r="3" spans="1:17" ht="68.25" customHeight="1" x14ac:dyDescent="0.2">
      <c r="A3" s="64" t="s">
        <v>5</v>
      </c>
      <c r="B3" s="65" t="s">
        <v>6</v>
      </c>
      <c r="C3" s="65" t="s">
        <v>7</v>
      </c>
      <c r="D3" s="65" t="s">
        <v>141</v>
      </c>
      <c r="E3" s="65" t="s">
        <v>142</v>
      </c>
      <c r="F3" s="65" t="s">
        <v>140</v>
      </c>
      <c r="G3" s="65"/>
      <c r="H3" s="65"/>
      <c r="I3" s="211" t="s">
        <v>15</v>
      </c>
      <c r="J3" s="211"/>
      <c r="K3" s="211"/>
      <c r="L3" s="211"/>
      <c r="M3" s="211"/>
      <c r="N3" s="211"/>
      <c r="O3" s="211"/>
      <c r="P3" s="211"/>
    </row>
    <row r="4" spans="1:17" ht="17" x14ac:dyDescent="0.2">
      <c r="A4" s="177">
        <f>'Timesheet-Regular'!C11</f>
        <v>45292</v>
      </c>
      <c r="B4" s="57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57">
        <f>IF(B4&gt;0,'Timesheet-Regular'!E11,0)</f>
        <v>0</v>
      </c>
      <c r="D4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12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62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62">
        <f t="shared" ref="G4:G65" si="0">C4-B4</f>
        <v>0</v>
      </c>
      <c r="H4" s="120">
        <f>SUM(Sheet2!D4:D5)</f>
        <v>0</v>
      </c>
      <c r="I4" s="181"/>
      <c r="J4" s="182"/>
      <c r="K4" s="182"/>
      <c r="L4" s="182"/>
      <c r="M4" s="182"/>
      <c r="N4" s="182"/>
      <c r="O4" s="182"/>
      <c r="P4" s="183"/>
    </row>
    <row r="5" spans="1:17" ht="17" x14ac:dyDescent="0.2">
      <c r="A5" s="178"/>
      <c r="B5" s="57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57">
        <f>IF(B5&gt;0,'Timesheet-Regular'!E12,0)</f>
        <v>0</v>
      </c>
      <c r="D5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121"/>
      <c r="F5" s="62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62">
        <f t="shared" si="0"/>
        <v>0</v>
      </c>
      <c r="H5" s="121"/>
      <c r="I5" s="181"/>
      <c r="J5" s="182"/>
      <c r="K5" s="182"/>
      <c r="L5" s="182"/>
      <c r="M5" s="182"/>
      <c r="N5" s="182"/>
      <c r="O5" s="182"/>
      <c r="P5" s="183"/>
    </row>
    <row r="6" spans="1:17" ht="17" x14ac:dyDescent="0.2">
      <c r="A6" s="177">
        <f>'Timesheet-Regular'!C13</f>
        <v>45293</v>
      </c>
      <c r="B6" s="57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57">
        <f>IF(B6&gt;0,'Timesheet-Regular'!E13,0)</f>
        <v>0</v>
      </c>
      <c r="D6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12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62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62">
        <f t="shared" si="0"/>
        <v>0</v>
      </c>
      <c r="H6" s="120">
        <f>SUM(Sheet2!D6:D7)</f>
        <v>0</v>
      </c>
      <c r="I6" s="181"/>
      <c r="J6" s="182"/>
      <c r="K6" s="182"/>
      <c r="L6" s="182"/>
      <c r="M6" s="182"/>
      <c r="N6" s="182"/>
      <c r="O6" s="182"/>
      <c r="P6" s="183"/>
    </row>
    <row r="7" spans="1:17" ht="17" x14ac:dyDescent="0.2">
      <c r="A7" s="178"/>
      <c r="B7" s="57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57">
        <f>IF(B7&gt;0,'Timesheet-Regular'!E14,0)</f>
        <v>0</v>
      </c>
      <c r="D7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121"/>
      <c r="F7" s="62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62">
        <f t="shared" si="0"/>
        <v>0</v>
      </c>
      <c r="H7" s="121"/>
      <c r="I7" s="181"/>
      <c r="J7" s="182"/>
      <c r="K7" s="182"/>
      <c r="L7" s="182"/>
      <c r="M7" s="182"/>
      <c r="N7" s="182"/>
      <c r="O7" s="182"/>
      <c r="P7" s="183"/>
      <c r="Q7" s="66"/>
    </row>
    <row r="8" spans="1:17" ht="17" x14ac:dyDescent="0.2">
      <c r="A8" s="177">
        <f>'Timesheet-Regular'!C15</f>
        <v>45294</v>
      </c>
      <c r="B8" s="57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57">
        <f>IF(B8&gt;0,'Timesheet-Regular'!E15,0)</f>
        <v>0</v>
      </c>
      <c r="D8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12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62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62">
        <f t="shared" si="0"/>
        <v>0</v>
      </c>
      <c r="H8" s="120">
        <f>SUM(Sheet2!D8:D9)</f>
        <v>0</v>
      </c>
      <c r="I8" s="181"/>
      <c r="J8" s="182"/>
      <c r="K8" s="182"/>
      <c r="L8" s="182"/>
      <c r="M8" s="182"/>
      <c r="N8" s="182"/>
      <c r="O8" s="182"/>
      <c r="P8" s="183"/>
      <c r="Q8" s="66"/>
    </row>
    <row r="9" spans="1:17" ht="17" x14ac:dyDescent="0.2">
      <c r="A9" s="178"/>
      <c r="B9" s="57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57">
        <f>IF(B9&gt;0,'Timesheet-Regular'!E16,0)</f>
        <v>0</v>
      </c>
      <c r="D9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121"/>
      <c r="F9" s="62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62">
        <f t="shared" si="0"/>
        <v>0</v>
      </c>
      <c r="H9" s="121"/>
      <c r="I9" s="181"/>
      <c r="J9" s="182"/>
      <c r="K9" s="182"/>
      <c r="L9" s="182"/>
      <c r="M9" s="182"/>
      <c r="N9" s="182"/>
      <c r="O9" s="182"/>
      <c r="P9" s="183"/>
    </row>
    <row r="10" spans="1:17" ht="17" x14ac:dyDescent="0.2">
      <c r="A10" s="177">
        <f>'Timesheet-Regular'!C17</f>
        <v>45295</v>
      </c>
      <c r="B10" s="57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57">
        <f>IF(B10&gt;0,'Timesheet-Regular'!E17,0)</f>
        <v>0</v>
      </c>
      <c r="D10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12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62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62">
        <f>C10-B10</f>
        <v>0</v>
      </c>
      <c r="H10" s="120">
        <f>SUM(Sheet2!D10:D11)</f>
        <v>0</v>
      </c>
      <c r="I10" s="181"/>
      <c r="J10" s="182"/>
      <c r="K10" s="182"/>
      <c r="L10" s="182"/>
      <c r="M10" s="182"/>
      <c r="N10" s="182"/>
      <c r="O10" s="182"/>
      <c r="P10" s="183"/>
    </row>
    <row r="11" spans="1:17" ht="17" x14ac:dyDescent="0.2">
      <c r="A11" s="178"/>
      <c r="B11" s="57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57">
        <f>IF(B11&gt;0,'Timesheet-Regular'!E18,0)</f>
        <v>0</v>
      </c>
      <c r="D11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121"/>
      <c r="F11" s="62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62">
        <f t="shared" ref="G11:G12" si="1">C11-B11</f>
        <v>0</v>
      </c>
      <c r="H11" s="121"/>
      <c r="I11" s="181"/>
      <c r="J11" s="182"/>
      <c r="K11" s="182"/>
      <c r="L11" s="182"/>
      <c r="M11" s="182"/>
      <c r="N11" s="182"/>
      <c r="O11" s="182"/>
      <c r="P11" s="183"/>
    </row>
    <row r="12" spans="1:17" ht="17" x14ac:dyDescent="0.2">
      <c r="A12" s="177">
        <f>'Timesheet-Regular'!C19</f>
        <v>45296</v>
      </c>
      <c r="B12" s="57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57">
        <f>IF(B12&gt;0,'Timesheet-Regular'!E19,0)</f>
        <v>0</v>
      </c>
      <c r="D12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12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62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62">
        <f t="shared" si="1"/>
        <v>0</v>
      </c>
      <c r="H12" s="120">
        <f>SUM(Sheet2!D12:D13)</f>
        <v>0</v>
      </c>
      <c r="I12" s="181"/>
      <c r="J12" s="182"/>
      <c r="K12" s="182"/>
      <c r="L12" s="182"/>
      <c r="M12" s="182"/>
      <c r="N12" s="182"/>
      <c r="O12" s="182"/>
      <c r="P12" s="183"/>
    </row>
    <row r="13" spans="1:17" ht="17" x14ac:dyDescent="0.2">
      <c r="A13" s="178"/>
      <c r="B13" s="57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57">
        <f>IF(B13&gt;0,'Timesheet-Regular'!E20,0)</f>
        <v>0</v>
      </c>
      <c r="D13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121"/>
      <c r="F13" s="62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62">
        <f t="shared" si="0"/>
        <v>0</v>
      </c>
      <c r="H13" s="121"/>
      <c r="I13" s="181"/>
      <c r="J13" s="182"/>
      <c r="K13" s="182"/>
      <c r="L13" s="182"/>
      <c r="M13" s="182"/>
      <c r="N13" s="182"/>
      <c r="O13" s="182"/>
      <c r="P13" s="183"/>
    </row>
    <row r="14" spans="1:17" ht="17" x14ac:dyDescent="0.2">
      <c r="A14" s="177">
        <f>'Timesheet-Regular'!C21</f>
        <v>45297</v>
      </c>
      <c r="B14" s="57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57">
        <f>IF(B14&gt;0,'Timesheet-Regular'!E21,0)</f>
        <v>0</v>
      </c>
      <c r="D14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12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62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62">
        <f t="shared" si="0"/>
        <v>0</v>
      </c>
      <c r="H14" s="120">
        <f>SUM(Sheet2!D14:D15)</f>
        <v>0</v>
      </c>
      <c r="I14" s="181"/>
      <c r="J14" s="182"/>
      <c r="K14" s="182"/>
      <c r="L14" s="182"/>
      <c r="M14" s="182"/>
      <c r="N14" s="182"/>
      <c r="O14" s="182"/>
      <c r="P14" s="183"/>
    </row>
    <row r="15" spans="1:17" ht="17" x14ac:dyDescent="0.2">
      <c r="A15" s="178"/>
      <c r="B15" s="57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57">
        <f>IF(B15&gt;0,'Timesheet-Regular'!E22,0)</f>
        <v>0</v>
      </c>
      <c r="D15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121"/>
      <c r="F15" s="62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62">
        <f t="shared" si="0"/>
        <v>0</v>
      </c>
      <c r="H15" s="121"/>
      <c r="I15" s="181"/>
      <c r="J15" s="182"/>
      <c r="K15" s="182"/>
      <c r="L15" s="182"/>
      <c r="M15" s="182"/>
      <c r="N15" s="182"/>
      <c r="O15" s="182"/>
      <c r="P15" s="183"/>
    </row>
    <row r="16" spans="1:17" ht="17" x14ac:dyDescent="0.2">
      <c r="A16" s="177">
        <f>'Timesheet-Regular'!C23</f>
        <v>45298</v>
      </c>
      <c r="B16" s="57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57">
        <f>IF(B16&gt;0,'Timesheet-Regular'!E23,0)</f>
        <v>0</v>
      </c>
      <c r="D16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12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62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62">
        <f t="shared" si="0"/>
        <v>0</v>
      </c>
      <c r="H16" s="120">
        <f>SUM(Sheet2!D16:D17)</f>
        <v>0</v>
      </c>
      <c r="I16" s="181"/>
      <c r="J16" s="182"/>
      <c r="K16" s="182"/>
      <c r="L16" s="182"/>
      <c r="M16" s="182"/>
      <c r="N16" s="182"/>
      <c r="O16" s="182"/>
      <c r="P16" s="183"/>
    </row>
    <row r="17" spans="1:16" ht="17" x14ac:dyDescent="0.2">
      <c r="A17" s="178"/>
      <c r="B17" s="57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57">
        <f>IF(B17&gt;0,'Timesheet-Regular'!E24,0)</f>
        <v>0</v>
      </c>
      <c r="D17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121"/>
      <c r="F17" s="62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62">
        <f t="shared" si="0"/>
        <v>0</v>
      </c>
      <c r="H17" s="121"/>
      <c r="I17" s="181"/>
      <c r="J17" s="182"/>
      <c r="K17" s="182"/>
      <c r="L17" s="182"/>
      <c r="M17" s="182"/>
      <c r="N17" s="182"/>
      <c r="O17" s="182"/>
      <c r="P17" s="183"/>
    </row>
    <row r="18" spans="1:16" ht="17" x14ac:dyDescent="0.2">
      <c r="A18" s="177">
        <f>'Timesheet-Regular'!C25</f>
        <v>45299</v>
      </c>
      <c r="B18" s="57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57">
        <f>IF(B18&gt;0,'Timesheet-Regular'!E25,0)</f>
        <v>0</v>
      </c>
      <c r="D18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12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62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62">
        <f t="shared" si="0"/>
        <v>0</v>
      </c>
      <c r="H18" s="120">
        <f>SUM(Sheet2!D18:D19)</f>
        <v>0</v>
      </c>
      <c r="I18" s="181"/>
      <c r="J18" s="182"/>
      <c r="K18" s="182"/>
      <c r="L18" s="182"/>
      <c r="M18" s="182"/>
      <c r="N18" s="182"/>
      <c r="O18" s="182"/>
      <c r="P18" s="183"/>
    </row>
    <row r="19" spans="1:16" ht="17" x14ac:dyDescent="0.2">
      <c r="A19" s="178"/>
      <c r="B19" s="57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57">
        <f>IF(B19&gt;0,'Timesheet-Regular'!E26,0)</f>
        <v>0</v>
      </c>
      <c r="D19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121"/>
      <c r="F19" s="62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62">
        <f t="shared" si="0"/>
        <v>0</v>
      </c>
      <c r="H19" s="121"/>
      <c r="I19" s="181"/>
      <c r="J19" s="182"/>
      <c r="K19" s="182"/>
      <c r="L19" s="182"/>
      <c r="M19" s="182"/>
      <c r="N19" s="182"/>
      <c r="O19" s="182"/>
      <c r="P19" s="183"/>
    </row>
    <row r="20" spans="1:16" ht="17" x14ac:dyDescent="0.2">
      <c r="A20" s="177">
        <f>'Timesheet-Regular'!C27</f>
        <v>45300</v>
      </c>
      <c r="B20" s="57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57">
        <f>IF(B20&gt;0,'Timesheet-Regular'!E27,0)</f>
        <v>0</v>
      </c>
      <c r="D20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12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62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62">
        <f t="shared" si="0"/>
        <v>0</v>
      </c>
      <c r="H20" s="120">
        <f>SUM(Sheet2!D20:D21)</f>
        <v>0</v>
      </c>
      <c r="I20" s="181"/>
      <c r="J20" s="182"/>
      <c r="K20" s="182"/>
      <c r="L20" s="182"/>
      <c r="M20" s="182"/>
      <c r="N20" s="182"/>
      <c r="O20" s="182"/>
      <c r="P20" s="183"/>
    </row>
    <row r="21" spans="1:16" ht="17" x14ac:dyDescent="0.2">
      <c r="A21" s="178"/>
      <c r="B21" s="57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57">
        <f>IF(B21&gt;0,'Timesheet-Regular'!E28,0)</f>
        <v>0</v>
      </c>
      <c r="D21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121"/>
      <c r="F21" s="62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62">
        <f t="shared" si="0"/>
        <v>0</v>
      </c>
      <c r="H21" s="121"/>
      <c r="I21" s="181"/>
      <c r="J21" s="182"/>
      <c r="K21" s="182"/>
      <c r="L21" s="182"/>
      <c r="M21" s="182"/>
      <c r="N21" s="182"/>
      <c r="O21" s="182"/>
      <c r="P21" s="183"/>
    </row>
    <row r="22" spans="1:16" ht="17" x14ac:dyDescent="0.2">
      <c r="A22" s="177">
        <f>'Timesheet-Regular'!C29</f>
        <v>45301</v>
      </c>
      <c r="B22" s="57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57">
        <f>IF(B22&gt;0,'Timesheet-Regular'!E29,0)</f>
        <v>0</v>
      </c>
      <c r="D22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12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62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62">
        <f t="shared" si="0"/>
        <v>0</v>
      </c>
      <c r="H22" s="120">
        <f>SUM(Sheet2!D22:D23)</f>
        <v>0</v>
      </c>
      <c r="I22" s="181"/>
      <c r="J22" s="182"/>
      <c r="K22" s="182"/>
      <c r="L22" s="182"/>
      <c r="M22" s="182"/>
      <c r="N22" s="182"/>
      <c r="O22" s="182"/>
      <c r="P22" s="183"/>
    </row>
    <row r="23" spans="1:16" ht="17" x14ac:dyDescent="0.2">
      <c r="A23" s="178"/>
      <c r="B23" s="57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57">
        <f>IF(B23&gt;0,'Timesheet-Regular'!E30,0)</f>
        <v>0</v>
      </c>
      <c r="D23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121"/>
      <c r="F23" s="62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62">
        <f t="shared" si="0"/>
        <v>0</v>
      </c>
      <c r="H23" s="121"/>
      <c r="I23" s="181"/>
      <c r="J23" s="182"/>
      <c r="K23" s="182"/>
      <c r="L23" s="182"/>
      <c r="M23" s="182"/>
      <c r="N23" s="182"/>
      <c r="O23" s="182"/>
      <c r="P23" s="183"/>
    </row>
    <row r="24" spans="1:16" ht="17" x14ac:dyDescent="0.2">
      <c r="A24" s="177">
        <f>'Timesheet-Regular'!C31</f>
        <v>45302</v>
      </c>
      <c r="B24" s="57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57">
        <f>IF(B24&gt;0,'Timesheet-Regular'!E31,0)</f>
        <v>0</v>
      </c>
      <c r="D24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12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62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62">
        <f t="shared" si="0"/>
        <v>0</v>
      </c>
      <c r="H24" s="120">
        <f>SUM(Sheet2!D24:D25)</f>
        <v>0</v>
      </c>
      <c r="I24" s="181"/>
      <c r="J24" s="182"/>
      <c r="K24" s="182"/>
      <c r="L24" s="182"/>
      <c r="M24" s="182"/>
      <c r="N24" s="182"/>
      <c r="O24" s="182"/>
      <c r="P24" s="183"/>
    </row>
    <row r="25" spans="1:16" ht="17" x14ac:dyDescent="0.2">
      <c r="A25" s="178"/>
      <c r="B25" s="57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57">
        <f>IF(B25&gt;0,'Timesheet-Regular'!E32,0)</f>
        <v>0</v>
      </c>
      <c r="D25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121"/>
      <c r="F25" s="62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62">
        <f t="shared" si="0"/>
        <v>0</v>
      </c>
      <c r="H25" s="121"/>
      <c r="I25" s="181"/>
      <c r="J25" s="182"/>
      <c r="K25" s="182"/>
      <c r="L25" s="182"/>
      <c r="M25" s="182"/>
      <c r="N25" s="182"/>
      <c r="O25" s="182"/>
      <c r="P25" s="183"/>
    </row>
    <row r="26" spans="1:16" ht="17" x14ac:dyDescent="0.2">
      <c r="A26" s="177">
        <f>'Timesheet-Regular'!C33</f>
        <v>45303</v>
      </c>
      <c r="B26" s="57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57">
        <f>IF(B26&gt;0,'Timesheet-Regular'!E33,0)</f>
        <v>0</v>
      </c>
      <c r="D26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12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62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62">
        <f t="shared" si="0"/>
        <v>0</v>
      </c>
      <c r="H26" s="120">
        <f>SUM(Sheet2!D26:D27)</f>
        <v>0</v>
      </c>
      <c r="I26" s="181"/>
      <c r="J26" s="182"/>
      <c r="K26" s="182"/>
      <c r="L26" s="182"/>
      <c r="M26" s="182"/>
      <c r="N26" s="182"/>
      <c r="O26" s="182"/>
      <c r="P26" s="183"/>
    </row>
    <row r="27" spans="1:16" ht="17" x14ac:dyDescent="0.2">
      <c r="A27" s="178"/>
      <c r="B27" s="57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57">
        <f>IF(B27&gt;0,'Timesheet-Regular'!E34,0)</f>
        <v>0</v>
      </c>
      <c r="D27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121"/>
      <c r="F27" s="62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62">
        <f t="shared" si="0"/>
        <v>0</v>
      </c>
      <c r="H27" s="121"/>
      <c r="I27" s="181"/>
      <c r="J27" s="182"/>
      <c r="K27" s="182"/>
      <c r="L27" s="182"/>
      <c r="M27" s="182"/>
      <c r="N27" s="182"/>
      <c r="O27" s="182"/>
      <c r="P27" s="183"/>
    </row>
    <row r="28" spans="1:16" ht="17" x14ac:dyDescent="0.2">
      <c r="A28" s="177">
        <f>'Timesheet-Regular'!C35</f>
        <v>45304</v>
      </c>
      <c r="B28" s="57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0.33333333333333331</v>
      </c>
      <c r="C28" s="57">
        <f>IF(B28&gt;0,'Timesheet-Regular'!E35,0)</f>
        <v>0.6875</v>
      </c>
      <c r="D28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9</v>
      </c>
      <c r="E28" s="12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9</v>
      </c>
      <c r="F28" s="62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>Yes</v>
      </c>
      <c r="G28" s="62">
        <f t="shared" si="0"/>
        <v>0.35416666666666669</v>
      </c>
      <c r="H28" s="120">
        <f>SUM(Sheet2!D28:D29)</f>
        <v>9</v>
      </c>
      <c r="I28" s="181"/>
      <c r="J28" s="182"/>
      <c r="K28" s="182"/>
      <c r="L28" s="182"/>
      <c r="M28" s="182"/>
      <c r="N28" s="182"/>
      <c r="O28" s="182"/>
      <c r="P28" s="183"/>
    </row>
    <row r="29" spans="1:16" ht="17" x14ac:dyDescent="0.2">
      <c r="A29" s="178"/>
      <c r="B29" s="57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57">
        <f>IF(B29&gt;0,'Timesheet-Regular'!E36,0)</f>
        <v>0</v>
      </c>
      <c r="D29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121"/>
      <c r="F29" s="62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62">
        <f t="shared" si="0"/>
        <v>0</v>
      </c>
      <c r="H29" s="121"/>
      <c r="I29" s="181"/>
      <c r="J29" s="182"/>
      <c r="K29" s="182"/>
      <c r="L29" s="182"/>
      <c r="M29" s="182"/>
      <c r="N29" s="182"/>
      <c r="O29" s="182"/>
      <c r="P29" s="183"/>
    </row>
    <row r="30" spans="1:16" ht="17" x14ac:dyDescent="0.2">
      <c r="A30" s="177">
        <f>'Timesheet-Regular'!C37</f>
        <v>45305</v>
      </c>
      <c r="B30" s="57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0.33333333333333331</v>
      </c>
      <c r="C30" s="57">
        <f>IF(B30&gt;0,'Timesheet-Regular'!E37,0)</f>
        <v>0.6875</v>
      </c>
      <c r="D30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9</v>
      </c>
      <c r="E30" s="12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9</v>
      </c>
      <c r="F30" s="62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>Yes</v>
      </c>
      <c r="G30" s="62">
        <f t="shared" si="0"/>
        <v>0.35416666666666669</v>
      </c>
      <c r="H30" s="120">
        <f>SUM(Sheet2!D30:D31)</f>
        <v>9</v>
      </c>
      <c r="I30" s="181"/>
      <c r="J30" s="182"/>
      <c r="K30" s="182"/>
      <c r="L30" s="182"/>
      <c r="M30" s="182"/>
      <c r="N30" s="182"/>
      <c r="O30" s="182"/>
      <c r="P30" s="183"/>
    </row>
    <row r="31" spans="1:16" ht="17" x14ac:dyDescent="0.2">
      <c r="A31" s="178"/>
      <c r="B31" s="57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57">
        <f>IF(B31&gt;0,'Timesheet-Regular'!E38,0)</f>
        <v>0</v>
      </c>
      <c r="D31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121"/>
      <c r="F31" s="62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62">
        <f t="shared" si="0"/>
        <v>0</v>
      </c>
      <c r="H31" s="121"/>
      <c r="I31" s="181"/>
      <c r="J31" s="182"/>
      <c r="K31" s="182"/>
      <c r="L31" s="182"/>
      <c r="M31" s="182"/>
      <c r="N31" s="182"/>
      <c r="O31" s="182"/>
      <c r="P31" s="183"/>
    </row>
    <row r="32" spans="1:16" ht="17" x14ac:dyDescent="0.2">
      <c r="A32" s="177">
        <f>'Timesheet-Regular'!C39</f>
        <v>45306</v>
      </c>
      <c r="B32" s="57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57">
        <f>IF(B32&gt;0,'Timesheet-Regular'!E39,0)</f>
        <v>0</v>
      </c>
      <c r="D32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12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62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62">
        <f t="shared" si="0"/>
        <v>0</v>
      </c>
      <c r="H32" s="120">
        <f>SUM(Sheet2!D32:D33)</f>
        <v>0</v>
      </c>
      <c r="I32" s="181"/>
      <c r="J32" s="182"/>
      <c r="K32" s="182"/>
      <c r="L32" s="182"/>
      <c r="M32" s="182"/>
      <c r="N32" s="182"/>
      <c r="O32" s="182"/>
      <c r="P32" s="183"/>
    </row>
    <row r="33" spans="1:16" ht="17" x14ac:dyDescent="0.2">
      <c r="A33" s="178"/>
      <c r="B33" s="57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57">
        <f>IF(B33&gt;0,'Timesheet-Regular'!E40,0)</f>
        <v>0</v>
      </c>
      <c r="D33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121"/>
      <c r="F33" s="62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62">
        <f t="shared" si="0"/>
        <v>0</v>
      </c>
      <c r="H33" s="121"/>
      <c r="I33" s="181"/>
      <c r="J33" s="182"/>
      <c r="K33" s="182"/>
      <c r="L33" s="182"/>
      <c r="M33" s="182"/>
      <c r="N33" s="182"/>
      <c r="O33" s="182"/>
      <c r="P33" s="183"/>
    </row>
    <row r="34" spans="1:16" ht="17" x14ac:dyDescent="0.2">
      <c r="A34" s="177">
        <f>'Timesheet-Regular'!C41</f>
        <v>45307</v>
      </c>
      <c r="B34" s="57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57">
        <f>IF(B34&gt;0,'Timesheet-Regular'!E41,0)</f>
        <v>0</v>
      </c>
      <c r="D34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12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62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62">
        <f t="shared" si="0"/>
        <v>0</v>
      </c>
      <c r="H34" s="120">
        <f>SUM(Sheet2!D34:D35)</f>
        <v>0</v>
      </c>
      <c r="I34" s="181"/>
      <c r="J34" s="182"/>
      <c r="K34" s="182"/>
      <c r="L34" s="182"/>
      <c r="M34" s="182"/>
      <c r="N34" s="182"/>
      <c r="O34" s="182"/>
      <c r="P34" s="183"/>
    </row>
    <row r="35" spans="1:16" ht="17" x14ac:dyDescent="0.2">
      <c r="A35" s="178"/>
      <c r="B35" s="57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57">
        <f>IF(B35&gt;0,'Timesheet-Regular'!E42,0)</f>
        <v>0</v>
      </c>
      <c r="D35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121"/>
      <c r="F35" s="62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62">
        <f t="shared" si="0"/>
        <v>0</v>
      </c>
      <c r="H35" s="121"/>
      <c r="I35" s="181"/>
      <c r="J35" s="182"/>
      <c r="K35" s="182"/>
      <c r="L35" s="182"/>
      <c r="M35" s="182"/>
      <c r="N35" s="182"/>
      <c r="O35" s="182"/>
      <c r="P35" s="183"/>
    </row>
    <row r="36" spans="1:16" ht="17" x14ac:dyDescent="0.2">
      <c r="A36" s="177">
        <f>'Timesheet-Regular'!C43</f>
        <v>45308</v>
      </c>
      <c r="B36" s="57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57">
        <f>IF(B36&gt;0,'Timesheet-Regular'!E43,0)</f>
        <v>0</v>
      </c>
      <c r="D36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12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62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62">
        <f t="shared" si="0"/>
        <v>0</v>
      </c>
      <c r="H36" s="120">
        <f>SUM(Sheet2!D36:D37)</f>
        <v>0</v>
      </c>
      <c r="I36" s="181"/>
      <c r="J36" s="182"/>
      <c r="K36" s="182"/>
      <c r="L36" s="182"/>
      <c r="M36" s="182"/>
      <c r="N36" s="182"/>
      <c r="O36" s="182"/>
      <c r="P36" s="183"/>
    </row>
    <row r="37" spans="1:16" ht="17" x14ac:dyDescent="0.2">
      <c r="A37" s="178"/>
      <c r="B37" s="57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57">
        <f>IF(B37&gt;0,'Timesheet-Regular'!E44,0)</f>
        <v>0</v>
      </c>
      <c r="D37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121"/>
      <c r="F37" s="62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62">
        <f t="shared" si="0"/>
        <v>0</v>
      </c>
      <c r="H37" s="121"/>
      <c r="I37" s="181"/>
      <c r="J37" s="182"/>
      <c r="K37" s="182"/>
      <c r="L37" s="182"/>
      <c r="M37" s="182"/>
      <c r="N37" s="182"/>
      <c r="O37" s="182"/>
      <c r="P37" s="183"/>
    </row>
    <row r="38" spans="1:16" ht="17" x14ac:dyDescent="0.2">
      <c r="A38" s="177">
        <f>'Timesheet-Regular'!C45</f>
        <v>45309</v>
      </c>
      <c r="B38" s="57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57">
        <f>IF(B38&gt;0,'Timesheet-Regular'!E45,0)</f>
        <v>0</v>
      </c>
      <c r="D38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12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62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62">
        <f t="shared" si="0"/>
        <v>0</v>
      </c>
      <c r="H38" s="120">
        <f>SUM(Sheet2!D38:D39)</f>
        <v>0</v>
      </c>
      <c r="I38" s="181"/>
      <c r="J38" s="182"/>
      <c r="K38" s="182"/>
      <c r="L38" s="182"/>
      <c r="M38" s="182"/>
      <c r="N38" s="182"/>
      <c r="O38" s="182"/>
      <c r="P38" s="183"/>
    </row>
    <row r="39" spans="1:16" ht="17" x14ac:dyDescent="0.2">
      <c r="A39" s="178"/>
      <c r="B39" s="57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57">
        <f>IF(B39&gt;0,'Timesheet-Regular'!E46,0)</f>
        <v>0</v>
      </c>
      <c r="D39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121"/>
      <c r="F39" s="62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62">
        <f t="shared" si="0"/>
        <v>0</v>
      </c>
      <c r="H39" s="121"/>
      <c r="I39" s="181"/>
      <c r="J39" s="182"/>
      <c r="K39" s="182"/>
      <c r="L39" s="182"/>
      <c r="M39" s="182"/>
      <c r="N39" s="182"/>
      <c r="O39" s="182"/>
      <c r="P39" s="183"/>
    </row>
    <row r="40" spans="1:16" ht="17" x14ac:dyDescent="0.2">
      <c r="A40" s="177">
        <f>'Timesheet-Regular'!C47</f>
        <v>45310</v>
      </c>
      <c r="B40" s="57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57">
        <f>IF(B40&gt;0,'Timesheet-Regular'!E47,0)</f>
        <v>0</v>
      </c>
      <c r="D40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12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62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62">
        <f t="shared" si="0"/>
        <v>0</v>
      </c>
      <c r="H40" s="120">
        <f>SUM(Sheet2!D40:D41)</f>
        <v>0</v>
      </c>
      <c r="I40" s="181"/>
      <c r="J40" s="182"/>
      <c r="K40" s="182"/>
      <c r="L40" s="182"/>
      <c r="M40" s="182"/>
      <c r="N40" s="182"/>
      <c r="O40" s="182"/>
      <c r="P40" s="183"/>
    </row>
    <row r="41" spans="1:16" ht="17" x14ac:dyDescent="0.2">
      <c r="A41" s="178"/>
      <c r="B41" s="57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57">
        <f>IF(B41&gt;0,'Timesheet-Regular'!E48,0)</f>
        <v>0</v>
      </c>
      <c r="D41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121"/>
      <c r="F41" s="62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62">
        <f t="shared" si="0"/>
        <v>0</v>
      </c>
      <c r="H41" s="121"/>
      <c r="I41" s="181"/>
      <c r="J41" s="182"/>
      <c r="K41" s="182"/>
      <c r="L41" s="182"/>
      <c r="M41" s="182"/>
      <c r="N41" s="182"/>
      <c r="O41" s="182"/>
      <c r="P41" s="183"/>
    </row>
    <row r="42" spans="1:16" ht="17" x14ac:dyDescent="0.2">
      <c r="A42" s="177">
        <f>'Timesheet-Regular'!C49</f>
        <v>45311</v>
      </c>
      <c r="B42" s="57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57">
        <f>IF(B42&gt;0,'Timesheet-Regular'!E49,0)</f>
        <v>0</v>
      </c>
      <c r="D42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12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62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62">
        <f t="shared" si="0"/>
        <v>0</v>
      </c>
      <c r="H42" s="120">
        <f>SUM(Sheet2!D42:D43)</f>
        <v>0</v>
      </c>
      <c r="I42" s="181"/>
      <c r="J42" s="182"/>
      <c r="K42" s="182"/>
      <c r="L42" s="182"/>
      <c r="M42" s="182"/>
      <c r="N42" s="182"/>
      <c r="O42" s="182"/>
      <c r="P42" s="183"/>
    </row>
    <row r="43" spans="1:16" ht="17" x14ac:dyDescent="0.2">
      <c r="A43" s="178"/>
      <c r="B43" s="57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57">
        <f>IF(B43&gt;0,'Timesheet-Regular'!E50,0)</f>
        <v>0</v>
      </c>
      <c r="D43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121"/>
      <c r="F43" s="62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62">
        <f t="shared" si="0"/>
        <v>0</v>
      </c>
      <c r="H43" s="121"/>
      <c r="I43" s="181"/>
      <c r="J43" s="182"/>
      <c r="K43" s="182"/>
      <c r="L43" s="182"/>
      <c r="M43" s="182"/>
      <c r="N43" s="182"/>
      <c r="O43" s="182"/>
      <c r="P43" s="183"/>
    </row>
    <row r="44" spans="1:16" ht="17" x14ac:dyDescent="0.2">
      <c r="A44" s="177">
        <f>'Timesheet-Regular'!C51</f>
        <v>45312</v>
      </c>
      <c r="B44" s="57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57">
        <f>IF(B44&gt;0,'Timesheet-Regular'!E51,0)</f>
        <v>0</v>
      </c>
      <c r="D44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12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62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62">
        <f t="shared" si="0"/>
        <v>0</v>
      </c>
      <c r="H44" s="120">
        <f>SUM(Sheet2!D44:D45)</f>
        <v>0</v>
      </c>
      <c r="I44" s="181"/>
      <c r="J44" s="182"/>
      <c r="K44" s="182"/>
      <c r="L44" s="182"/>
      <c r="M44" s="182"/>
      <c r="N44" s="182"/>
      <c r="O44" s="182"/>
      <c r="P44" s="183"/>
    </row>
    <row r="45" spans="1:16" ht="17" x14ac:dyDescent="0.2">
      <c r="A45" s="178"/>
      <c r="B45" s="57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57">
        <f>IF(B45&gt;0,'Timesheet-Regular'!E52,0)</f>
        <v>0</v>
      </c>
      <c r="D45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121"/>
      <c r="F45" s="62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62">
        <f t="shared" si="0"/>
        <v>0</v>
      </c>
      <c r="H45" s="121"/>
      <c r="I45" s="181"/>
      <c r="J45" s="182"/>
      <c r="K45" s="182"/>
      <c r="L45" s="182"/>
      <c r="M45" s="182"/>
      <c r="N45" s="182"/>
      <c r="O45" s="182"/>
      <c r="P45" s="183"/>
    </row>
    <row r="46" spans="1:16" ht="17" x14ac:dyDescent="0.2">
      <c r="A46" s="177">
        <f>'Timesheet-Regular'!C53</f>
        <v>45313</v>
      </c>
      <c r="B46" s="57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57">
        <f>IF(B46&gt;0,'Timesheet-Regular'!E53,0)</f>
        <v>0</v>
      </c>
      <c r="D46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12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62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62">
        <f t="shared" si="0"/>
        <v>0</v>
      </c>
      <c r="H46" s="120">
        <f>SUM(Sheet2!D46:D47)</f>
        <v>0</v>
      </c>
      <c r="I46" s="181"/>
      <c r="J46" s="182"/>
      <c r="K46" s="182"/>
      <c r="L46" s="182"/>
      <c r="M46" s="182"/>
      <c r="N46" s="182"/>
      <c r="O46" s="182"/>
      <c r="P46" s="183"/>
    </row>
    <row r="47" spans="1:16" ht="17" x14ac:dyDescent="0.2">
      <c r="A47" s="178"/>
      <c r="B47" s="57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57">
        <f>IF(B47&gt;0,'Timesheet-Regular'!E54,0)</f>
        <v>0</v>
      </c>
      <c r="D47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121"/>
      <c r="F47" s="62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62">
        <f t="shared" si="0"/>
        <v>0</v>
      </c>
      <c r="H47" s="121"/>
      <c r="I47" s="181"/>
      <c r="J47" s="182"/>
      <c r="K47" s="182"/>
      <c r="L47" s="182"/>
      <c r="M47" s="182"/>
      <c r="N47" s="182"/>
      <c r="O47" s="182"/>
      <c r="P47" s="183"/>
    </row>
    <row r="48" spans="1:16" ht="17" x14ac:dyDescent="0.2">
      <c r="A48" s="177">
        <f>'Timesheet-Regular'!C55</f>
        <v>45314</v>
      </c>
      <c r="B48" s="57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57">
        <f>IF(B48&gt;0,'Timesheet-Regular'!E55,0)</f>
        <v>0</v>
      </c>
      <c r="D48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12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62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62">
        <f t="shared" si="0"/>
        <v>0</v>
      </c>
      <c r="H48" s="120">
        <f>SUM(Sheet2!D48:D49)</f>
        <v>0</v>
      </c>
      <c r="I48" s="181"/>
      <c r="J48" s="182"/>
      <c r="K48" s="182"/>
      <c r="L48" s="182"/>
      <c r="M48" s="182"/>
      <c r="N48" s="182"/>
      <c r="O48" s="182"/>
      <c r="P48" s="183"/>
    </row>
    <row r="49" spans="1:16" ht="17" x14ac:dyDescent="0.2">
      <c r="A49" s="178"/>
      <c r="B49" s="57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57">
        <f>IF(B49&gt;0,'Timesheet-Regular'!E56,0)</f>
        <v>0</v>
      </c>
      <c r="D49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121"/>
      <c r="F49" s="62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62">
        <f t="shared" si="0"/>
        <v>0</v>
      </c>
      <c r="H49" s="121"/>
      <c r="I49" s="181"/>
      <c r="J49" s="182"/>
      <c r="K49" s="182"/>
      <c r="L49" s="182"/>
      <c r="M49" s="182"/>
      <c r="N49" s="182"/>
      <c r="O49" s="182"/>
      <c r="P49" s="183"/>
    </row>
    <row r="50" spans="1:16" ht="17" x14ac:dyDescent="0.2">
      <c r="A50" s="177">
        <f>'Timesheet-Regular'!C57</f>
        <v>45315</v>
      </c>
      <c r="B50" s="57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57">
        <f>IF(B50&gt;0,'Timesheet-Regular'!E57,0)</f>
        <v>0</v>
      </c>
      <c r="D50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12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62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62">
        <f t="shared" si="0"/>
        <v>0</v>
      </c>
      <c r="H50" s="120">
        <f>SUM(Sheet2!D50:D51)</f>
        <v>0</v>
      </c>
      <c r="I50" s="181"/>
      <c r="J50" s="182"/>
      <c r="K50" s="182"/>
      <c r="L50" s="182"/>
      <c r="M50" s="182"/>
      <c r="N50" s="182"/>
      <c r="O50" s="182"/>
      <c r="P50" s="183"/>
    </row>
    <row r="51" spans="1:16" ht="17" x14ac:dyDescent="0.2">
      <c r="A51" s="178"/>
      <c r="B51" s="57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57">
        <f>IF(B51&gt;0,'Timesheet-Regular'!E58,0)</f>
        <v>0</v>
      </c>
      <c r="D51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121"/>
      <c r="F51" s="62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62">
        <f t="shared" si="0"/>
        <v>0</v>
      </c>
      <c r="H51" s="121"/>
      <c r="I51" s="181"/>
      <c r="J51" s="182"/>
      <c r="K51" s="182"/>
      <c r="L51" s="182"/>
      <c r="M51" s="182"/>
      <c r="N51" s="182"/>
      <c r="O51" s="182"/>
      <c r="P51" s="183"/>
    </row>
    <row r="52" spans="1:16" ht="17" x14ac:dyDescent="0.2">
      <c r="A52" s="177">
        <f>'Timesheet-Regular'!C59</f>
        <v>45316</v>
      </c>
      <c r="B52" s="57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57">
        <f>IF(B52&gt;0,'Timesheet-Regular'!E59,0)</f>
        <v>0</v>
      </c>
      <c r="D52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12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62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62">
        <f t="shared" si="0"/>
        <v>0</v>
      </c>
      <c r="H52" s="120">
        <f>SUM(Sheet2!D52:D53)</f>
        <v>0</v>
      </c>
      <c r="I52" s="181"/>
      <c r="J52" s="182"/>
      <c r="K52" s="182"/>
      <c r="L52" s="182"/>
      <c r="M52" s="182"/>
      <c r="N52" s="182"/>
      <c r="O52" s="182"/>
      <c r="P52" s="183"/>
    </row>
    <row r="53" spans="1:16" ht="17" x14ac:dyDescent="0.2">
      <c r="A53" s="178"/>
      <c r="B53" s="57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57">
        <f>IF(B53&gt;0,'Timesheet-Regular'!E60,0)</f>
        <v>0</v>
      </c>
      <c r="D53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121"/>
      <c r="F53" s="62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62">
        <f t="shared" si="0"/>
        <v>0</v>
      </c>
      <c r="H53" s="121"/>
      <c r="I53" s="181"/>
      <c r="J53" s="182"/>
      <c r="K53" s="182"/>
      <c r="L53" s="182"/>
      <c r="M53" s="182"/>
      <c r="N53" s="182"/>
      <c r="O53" s="182"/>
      <c r="P53" s="183"/>
    </row>
    <row r="54" spans="1:16" ht="17" x14ac:dyDescent="0.2">
      <c r="A54" s="177">
        <f>'Timesheet-Regular'!C61</f>
        <v>45317</v>
      </c>
      <c r="B54" s="57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57">
        <f>IF(B54&gt;0,'Timesheet-Regular'!E61,0)</f>
        <v>0</v>
      </c>
      <c r="D54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12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62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62">
        <f t="shared" si="0"/>
        <v>0</v>
      </c>
      <c r="H54" s="120">
        <f>SUM(Sheet2!D54:D55)</f>
        <v>0</v>
      </c>
      <c r="I54" s="181"/>
      <c r="J54" s="182"/>
      <c r="K54" s="182"/>
      <c r="L54" s="182"/>
      <c r="M54" s="182"/>
      <c r="N54" s="182"/>
      <c r="O54" s="182"/>
      <c r="P54" s="183"/>
    </row>
    <row r="55" spans="1:16" ht="17" x14ac:dyDescent="0.2">
      <c r="A55" s="178"/>
      <c r="B55" s="57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57">
        <f>IF(B55&gt;0,'Timesheet-Regular'!E62,0)</f>
        <v>0</v>
      </c>
      <c r="D55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121"/>
      <c r="F55" s="62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62">
        <f t="shared" si="0"/>
        <v>0</v>
      </c>
      <c r="H55" s="121"/>
      <c r="I55" s="181"/>
      <c r="J55" s="182"/>
      <c r="K55" s="182"/>
      <c r="L55" s="182"/>
      <c r="M55" s="182"/>
      <c r="N55" s="182"/>
      <c r="O55" s="182"/>
      <c r="P55" s="183"/>
    </row>
    <row r="56" spans="1:16" ht="17" x14ac:dyDescent="0.2">
      <c r="A56" s="177">
        <f>'Timesheet-Regular'!C63</f>
        <v>45318</v>
      </c>
      <c r="B56" s="57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57">
        <f>IF(B56&gt;0,'Timesheet-Regular'!E63,0)</f>
        <v>0</v>
      </c>
      <c r="D56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12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62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62">
        <f t="shared" si="0"/>
        <v>0</v>
      </c>
      <c r="H56" s="120">
        <f>SUM(Sheet2!D56:D57)</f>
        <v>0</v>
      </c>
      <c r="I56" s="181"/>
      <c r="J56" s="182"/>
      <c r="K56" s="182"/>
      <c r="L56" s="182"/>
      <c r="M56" s="182"/>
      <c r="N56" s="182"/>
      <c r="O56" s="182"/>
      <c r="P56" s="183"/>
    </row>
    <row r="57" spans="1:16" ht="17" x14ac:dyDescent="0.2">
      <c r="A57" s="178"/>
      <c r="B57" s="57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57">
        <f>IF(B57&gt;0,'Timesheet-Regular'!E64,0)</f>
        <v>0</v>
      </c>
      <c r="D57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121"/>
      <c r="F57" s="62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62">
        <f t="shared" si="0"/>
        <v>0</v>
      </c>
      <c r="H57" s="121"/>
      <c r="I57" s="181"/>
      <c r="J57" s="182"/>
      <c r="K57" s="182"/>
      <c r="L57" s="182"/>
      <c r="M57" s="182"/>
      <c r="N57" s="182"/>
      <c r="O57" s="182"/>
      <c r="P57" s="183"/>
    </row>
    <row r="58" spans="1:16" ht="17" x14ac:dyDescent="0.2">
      <c r="A58" s="177">
        <f>'Timesheet-Regular'!C65</f>
        <v>45319</v>
      </c>
      <c r="B58" s="57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57">
        <f>IF(B58&gt;0,'Timesheet-Regular'!E65,0)</f>
        <v>0</v>
      </c>
      <c r="D58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12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62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62">
        <f t="shared" si="0"/>
        <v>0</v>
      </c>
      <c r="H58" s="120">
        <f>SUM(Sheet2!D58:D59)</f>
        <v>0</v>
      </c>
      <c r="I58" s="181"/>
      <c r="J58" s="182"/>
      <c r="K58" s="182"/>
      <c r="L58" s="182"/>
      <c r="M58" s="182"/>
      <c r="N58" s="182"/>
      <c r="O58" s="182"/>
      <c r="P58" s="183"/>
    </row>
    <row r="59" spans="1:16" ht="17" x14ac:dyDescent="0.2">
      <c r="A59" s="178"/>
      <c r="B59" s="57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57">
        <f>IF(B59&gt;0,'Timesheet-Regular'!E66,0)</f>
        <v>0</v>
      </c>
      <c r="D59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121"/>
      <c r="F59" s="62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62">
        <f t="shared" si="0"/>
        <v>0</v>
      </c>
      <c r="H59" s="121"/>
      <c r="I59" s="181"/>
      <c r="J59" s="182"/>
      <c r="K59" s="182"/>
      <c r="L59" s="182"/>
      <c r="M59" s="182"/>
      <c r="N59" s="182"/>
      <c r="O59" s="182"/>
      <c r="P59" s="183"/>
    </row>
    <row r="60" spans="1:16" ht="17" x14ac:dyDescent="0.2">
      <c r="A60" s="177">
        <f>'Timesheet-Regular'!C67</f>
        <v>45320</v>
      </c>
      <c r="B60" s="57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57">
        <f>IF(B60&gt;0,'Timesheet-Regular'!E67,0)</f>
        <v>0</v>
      </c>
      <c r="D60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12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62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62">
        <f t="shared" si="0"/>
        <v>0</v>
      </c>
      <c r="H60" s="120">
        <f>SUM(Sheet2!D60:D61)</f>
        <v>0</v>
      </c>
      <c r="I60" s="181"/>
      <c r="J60" s="182"/>
      <c r="K60" s="182"/>
      <c r="L60" s="182"/>
      <c r="M60" s="182"/>
      <c r="N60" s="182"/>
      <c r="O60" s="182"/>
      <c r="P60" s="183"/>
    </row>
    <row r="61" spans="1:16" ht="17" x14ac:dyDescent="0.2">
      <c r="A61" s="178"/>
      <c r="B61" s="57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57">
        <f>IF(B61&gt;0,'Timesheet-Regular'!E68,0)</f>
        <v>0</v>
      </c>
      <c r="D61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121"/>
      <c r="F61" s="62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62">
        <f t="shared" si="0"/>
        <v>0</v>
      </c>
      <c r="H61" s="121"/>
      <c r="I61" s="181"/>
      <c r="J61" s="182"/>
      <c r="K61" s="182"/>
      <c r="L61" s="182"/>
      <c r="M61" s="182"/>
      <c r="N61" s="182"/>
      <c r="O61" s="182"/>
      <c r="P61" s="183"/>
    </row>
    <row r="62" spans="1:16" ht="17" x14ac:dyDescent="0.2">
      <c r="A62" s="177">
        <f>'Timesheet-Regular'!C69</f>
        <v>45321</v>
      </c>
      <c r="B62" s="57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57">
        <f>IF(B62&gt;0,'Timesheet-Regular'!E69,0)</f>
        <v>0</v>
      </c>
      <c r="D62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12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62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62">
        <f t="shared" si="0"/>
        <v>0</v>
      </c>
      <c r="H62" s="120">
        <f>SUM(Sheet2!D62:D63)</f>
        <v>0</v>
      </c>
      <c r="I62" s="181"/>
      <c r="J62" s="182"/>
      <c r="K62" s="182"/>
      <c r="L62" s="182"/>
      <c r="M62" s="182"/>
      <c r="N62" s="182"/>
      <c r="O62" s="182"/>
      <c r="P62" s="183"/>
    </row>
    <row r="63" spans="1:16" ht="17" x14ac:dyDescent="0.2">
      <c r="A63" s="178"/>
      <c r="B63" s="57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57">
        <f>IF(B63&gt;0,'Timesheet-Regular'!E70,0)</f>
        <v>0</v>
      </c>
      <c r="D63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121"/>
      <c r="F63" s="62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62">
        <f t="shared" si="0"/>
        <v>0</v>
      </c>
      <c r="H63" s="121"/>
      <c r="I63" s="181"/>
      <c r="J63" s="182"/>
      <c r="K63" s="182"/>
      <c r="L63" s="182"/>
      <c r="M63" s="182"/>
      <c r="N63" s="182"/>
      <c r="O63" s="182"/>
      <c r="P63" s="183"/>
    </row>
    <row r="64" spans="1:16" ht="17" x14ac:dyDescent="0.2">
      <c r="A64" s="177">
        <f>'Timesheet-Regular'!C71</f>
        <v>45322</v>
      </c>
      <c r="B64" s="57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57">
        <f>IF(B64&gt;0,'Timesheet-Regular'!E71,0)</f>
        <v>0</v>
      </c>
      <c r="D64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12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62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62">
        <f t="shared" si="0"/>
        <v>0</v>
      </c>
      <c r="H64" s="120">
        <f>SUM(Sheet2!D64:D65)</f>
        <v>0</v>
      </c>
      <c r="I64" s="181"/>
      <c r="J64" s="182"/>
      <c r="K64" s="182"/>
      <c r="L64" s="182"/>
      <c r="M64" s="182"/>
      <c r="N64" s="182"/>
      <c r="O64" s="182"/>
      <c r="P64" s="183"/>
    </row>
    <row r="65" spans="1:16" ht="17" x14ac:dyDescent="0.2">
      <c r="A65" s="178"/>
      <c r="B65" s="57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57">
        <f>IF(B65&gt;0,'Timesheet-Regular'!E72,0)</f>
        <v>0</v>
      </c>
      <c r="D65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121"/>
      <c r="F65" s="62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62">
        <f t="shared" si="0"/>
        <v>0</v>
      </c>
      <c r="H65" s="121"/>
      <c r="I65" s="181"/>
      <c r="J65" s="182"/>
      <c r="K65" s="182"/>
      <c r="L65" s="182"/>
      <c r="M65" s="182"/>
      <c r="N65" s="182"/>
      <c r="O65" s="182"/>
      <c r="P65" s="183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AHMAD MUKHTAR</cp:lastModifiedBy>
  <cp:lastPrinted>2024-01-24T06:52:09Z</cp:lastPrinted>
  <dcterms:created xsi:type="dcterms:W3CDTF">2015-10-01T08:51:08Z</dcterms:created>
  <dcterms:modified xsi:type="dcterms:W3CDTF">2024-01-24T06:53:21Z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37e5cc-ed1f-4ad6-a881-35c0f1c6f3d8_Enabled">
    <vt:lpwstr>true</vt:lpwstr>
  </property>
  <property fmtid="{D5CDD505-2E9C-101B-9397-08002B2CF9AE}" pid="3" name="MSIP_Label_4637e5cc-ed1f-4ad6-a881-35c0f1c6f3d8_SetDate">
    <vt:lpwstr>2022-11-01T05:43:11Z</vt:lpwstr>
  </property>
  <property fmtid="{D5CDD505-2E9C-101B-9397-08002B2CF9AE}" pid="4" name="MSIP_Label_4637e5cc-ed1f-4ad6-a881-35c0f1c6f3d8_Method">
    <vt:lpwstr>Standard</vt:lpwstr>
  </property>
  <property fmtid="{D5CDD505-2E9C-101B-9397-08002B2CF9AE}" pid="5" name="MSIP_Label_4637e5cc-ed1f-4ad6-a881-35c0f1c6f3d8_Name">
    <vt:lpwstr>General</vt:lpwstr>
  </property>
  <property fmtid="{D5CDD505-2E9C-101B-9397-08002B2CF9AE}" pid="6" name="MSIP_Label_4637e5cc-ed1f-4ad6-a881-35c0f1c6f3d8_SiteId">
    <vt:lpwstr>e3cf3c98-a978-465f-8254-9d541eeea73c</vt:lpwstr>
  </property>
  <property fmtid="{D5CDD505-2E9C-101B-9397-08002B2CF9AE}" pid="7" name="MSIP_Label_4637e5cc-ed1f-4ad6-a881-35c0f1c6f3d8_ActionId">
    <vt:lpwstr>ec1451e2-d484-4e61-b47f-2842d533212c</vt:lpwstr>
  </property>
  <property fmtid="{D5CDD505-2E9C-101B-9397-08002B2CF9AE}" pid="8" name="MSIP_Label_4637e5cc-ed1f-4ad6-a881-35c0f1c6f3d8_ContentBits">
    <vt:lpwstr>0</vt:lpwstr>
  </property>
</Properties>
</file>